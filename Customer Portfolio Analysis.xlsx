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defaultThemeVersion="166925"/>
  <mc:AlternateContent xmlns:mc="http://schemas.openxmlformats.org/markup-compatibility/2006">
    <mc:Choice Requires="x15">
      <x15ac:absPath xmlns:x15ac="http://schemas.microsoft.com/office/spreadsheetml/2010/11/ac" url="/Users/macbook/Downloads/"/>
    </mc:Choice>
  </mc:AlternateContent>
  <xr:revisionPtr revIDLastSave="0" documentId="13_ncr:1_{ED3E4A4C-6087-3E4C-BFA0-C51284522D86}" xr6:coauthVersionLast="47" xr6:coauthVersionMax="47" xr10:uidLastSave="{00000000-0000-0000-0000-000000000000}"/>
  <bookViews>
    <workbookView xWindow="1860" yWindow="5680" windowWidth="24240" windowHeight="13020" activeTab="2" xr2:uid="{1F62A45E-D60E-4D62-920B-2CAFD66BD122}"/>
  </bookViews>
  <sheets>
    <sheet name="customers" sheetId="1" r:id="rId1"/>
    <sheet name="Sheet1" sheetId="2" r:id="rId2"/>
    <sheet name="dashboard" sheetId="3" r:id="rId3"/>
    <sheet name="Sheet2" sheetId="4" r:id="rId4"/>
  </sheets>
  <definedNames>
    <definedName name="NativeTimeline_contract_start_date">#N/A</definedName>
    <definedName name="Slicer_account_status">#N/A</definedName>
    <definedName name="Slicer_credit_terms_days">#N/A</definedName>
    <definedName name="Slicer_month">#N/A</definedName>
    <definedName name="Slicer_primary_freight_type">#N/A</definedName>
    <definedName name="Slicer_year">#N/A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7" i="2" l="1"/>
  <c r="C4" i="2"/>
  <c r="F12" i="2"/>
  <c r="F11" i="2"/>
  <c r="G11" i="2" l="1"/>
  <c r="G12"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E36" i="2"/>
  <c r="D51" i="2"/>
  <c r="D54" i="2"/>
  <c r="D49" i="2"/>
  <c r="F24" i="2"/>
  <c r="F18" i="2"/>
  <c r="D53" i="2"/>
  <c r="F23" i="2"/>
  <c r="E37" i="2"/>
  <c r="D52" i="2"/>
  <c r="F17" i="2"/>
  <c r="D50" i="2"/>
  <c r="F36" i="2" l="1"/>
  <c r="F37" i="2"/>
  <c r="E54" i="2"/>
  <c r="E53" i="2"/>
  <c r="E52" i="2"/>
  <c r="E51" i="2"/>
  <c r="E50" i="2"/>
  <c r="E49" i="2"/>
  <c r="G17" i="2"/>
  <c r="G18" i="2"/>
  <c r="G23" i="2"/>
  <c r="G24" i="2"/>
</calcChain>
</file>

<file path=xl/sharedStrings.xml><?xml version="1.0" encoding="utf-8"?>
<sst xmlns="http://schemas.openxmlformats.org/spreadsheetml/2006/main" count="1098" uniqueCount="361">
  <si>
    <t>customer_id</t>
  </si>
  <si>
    <t>customer_name</t>
  </si>
  <si>
    <t>customer_type</t>
  </si>
  <si>
    <t>credit_terms_days</t>
  </si>
  <si>
    <t>primary_freight_type</t>
  </si>
  <si>
    <t>account_status</t>
  </si>
  <si>
    <t>contract_start_date</t>
  </si>
  <si>
    <t>annual_revenue_potential</t>
  </si>
  <si>
    <t>CUST00001</t>
  </si>
  <si>
    <t>Metro Wholesale</t>
  </si>
  <si>
    <t>Dedicated</t>
  </si>
  <si>
    <t>General</t>
  </si>
  <si>
    <t>Inactive</t>
  </si>
  <si>
    <t>CUST00002</t>
  </si>
  <si>
    <t>National Retail</t>
  </si>
  <si>
    <t>Contract</t>
  </si>
  <si>
    <t>Retail</t>
  </si>
  <si>
    <t>Active</t>
  </si>
  <si>
    <t>CUST00003</t>
  </si>
  <si>
    <t>XYZ Industries</t>
  </si>
  <si>
    <t>Consumer Goods</t>
  </si>
  <si>
    <t>CUST00004</t>
  </si>
  <si>
    <t>American Corp</t>
  </si>
  <si>
    <t>Food/Beverage</t>
  </si>
  <si>
    <t>CUST00005</t>
  </si>
  <si>
    <t>American Distribution</t>
  </si>
  <si>
    <t>Spot</t>
  </si>
  <si>
    <t>CUST00006</t>
  </si>
  <si>
    <t>American Industries</t>
  </si>
  <si>
    <t>CUST00007</t>
  </si>
  <si>
    <t>Superior Distribution</t>
  </si>
  <si>
    <t>CUST00008</t>
  </si>
  <si>
    <t>American Logistics</t>
  </si>
  <si>
    <t>Automotive</t>
  </si>
  <si>
    <t>CUST00009</t>
  </si>
  <si>
    <t>XYZ Wholesale</t>
  </si>
  <si>
    <t>CUST00010</t>
  </si>
  <si>
    <t>National Logistics</t>
  </si>
  <si>
    <t>CUST00011</t>
  </si>
  <si>
    <t>First Group</t>
  </si>
  <si>
    <t>Electronics</t>
  </si>
  <si>
    <t>CUST00012</t>
  </si>
  <si>
    <t>ABC Distribution</t>
  </si>
  <si>
    <t>CUST00013</t>
  </si>
  <si>
    <t>Pacific Corp</t>
  </si>
  <si>
    <t>CUST00014</t>
  </si>
  <si>
    <t>Elite Foods</t>
  </si>
  <si>
    <t>CUST00015</t>
  </si>
  <si>
    <t>CUST00016</t>
  </si>
  <si>
    <t>United Industries</t>
  </si>
  <si>
    <t>CUST00017</t>
  </si>
  <si>
    <t>Superior Supply Chain</t>
  </si>
  <si>
    <t>CUST00018</t>
  </si>
  <si>
    <t>ABC Retail</t>
  </si>
  <si>
    <t>CUST00019</t>
  </si>
  <si>
    <t>American Supply Chain</t>
  </si>
  <si>
    <t>CUST00020</t>
  </si>
  <si>
    <t>First Corp</t>
  </si>
  <si>
    <t>CUST00021</t>
  </si>
  <si>
    <t>Elite Industries</t>
  </si>
  <si>
    <t>CUST00022</t>
  </si>
  <si>
    <t>Continental Supply Chain</t>
  </si>
  <si>
    <t>CUST00023</t>
  </si>
  <si>
    <t>Continental Industries</t>
  </si>
  <si>
    <t>CUST00024</t>
  </si>
  <si>
    <t>XYZ Distribution</t>
  </si>
  <si>
    <t>CUST00025</t>
  </si>
  <si>
    <t>Pacific Retail</t>
  </si>
  <si>
    <t>CUST00026</t>
  </si>
  <si>
    <t>ABC Supply Chain</t>
  </si>
  <si>
    <t>CUST00027</t>
  </si>
  <si>
    <t>Superior Foods</t>
  </si>
  <si>
    <t>CUST00028</t>
  </si>
  <si>
    <t>CUST00029</t>
  </si>
  <si>
    <t>CUST00030</t>
  </si>
  <si>
    <t>ABC Manufacturing</t>
  </si>
  <si>
    <t>CUST00031</t>
  </si>
  <si>
    <t>American Manufacturing</t>
  </si>
  <si>
    <t>CUST00032</t>
  </si>
  <si>
    <t>Continental Wholesale</t>
  </si>
  <si>
    <t>CUST00033</t>
  </si>
  <si>
    <t>XYZ Foods</t>
  </si>
  <si>
    <t>CUST00034</t>
  </si>
  <si>
    <t>Elite Retail</t>
  </si>
  <si>
    <t>CUST00035</t>
  </si>
  <si>
    <t>United Distribution</t>
  </si>
  <si>
    <t>CUST00036</t>
  </si>
  <si>
    <t>CUST00037</t>
  </si>
  <si>
    <t>American Retail</t>
  </si>
  <si>
    <t>CUST00038</t>
  </si>
  <si>
    <t>CUST00039</t>
  </si>
  <si>
    <t>CUST00040</t>
  </si>
  <si>
    <t>ABC Corp</t>
  </si>
  <si>
    <t>CUST00041</t>
  </si>
  <si>
    <t>CUST00042</t>
  </si>
  <si>
    <t>CUST00043</t>
  </si>
  <si>
    <t>First Manufacturing</t>
  </si>
  <si>
    <t>CUST00044</t>
  </si>
  <si>
    <t>CUST00045</t>
  </si>
  <si>
    <t>First Logistics</t>
  </si>
  <si>
    <t>CUST00046</t>
  </si>
  <si>
    <t>First Wholesale</t>
  </si>
  <si>
    <t>CUST00047</t>
  </si>
  <si>
    <t>CUST00048</t>
  </si>
  <si>
    <t>CUST00049</t>
  </si>
  <si>
    <t>Continental Corp</t>
  </si>
  <si>
    <t>CUST00050</t>
  </si>
  <si>
    <t>Global Manufacturing</t>
  </si>
  <si>
    <t>CUST00051</t>
  </si>
  <si>
    <t>CUST00052</t>
  </si>
  <si>
    <t>Metro Corp</t>
  </si>
  <si>
    <t>CUST00053</t>
  </si>
  <si>
    <t>Elite Supply Chain</t>
  </si>
  <si>
    <t>CUST00054</t>
  </si>
  <si>
    <t>CUST00055</t>
  </si>
  <si>
    <t>National Corp</t>
  </si>
  <si>
    <t>CUST00056</t>
  </si>
  <si>
    <t>Continental Retail</t>
  </si>
  <si>
    <t>CUST00057</t>
  </si>
  <si>
    <t>Premier Wholesale</t>
  </si>
  <si>
    <t>CUST00058</t>
  </si>
  <si>
    <t>CUST00059</t>
  </si>
  <si>
    <t>CUST00060</t>
  </si>
  <si>
    <t>Global Wholesale</t>
  </si>
  <si>
    <t>CUST00061</t>
  </si>
  <si>
    <t>Elite Group</t>
  </si>
  <si>
    <t>CUST00062</t>
  </si>
  <si>
    <t>Premier Group</t>
  </si>
  <si>
    <t>CUST00063</t>
  </si>
  <si>
    <t>Superior Group</t>
  </si>
  <si>
    <t>CUST00064</t>
  </si>
  <si>
    <t>Metro Retail</t>
  </si>
  <si>
    <t>CUST00065</t>
  </si>
  <si>
    <t>United Retail</t>
  </si>
  <si>
    <t>CUST00066</t>
  </si>
  <si>
    <t>CUST00067</t>
  </si>
  <si>
    <t>Metro Supply Chain</t>
  </si>
  <si>
    <t>CUST00068</t>
  </si>
  <si>
    <t>Metro Manufacturing</t>
  </si>
  <si>
    <t>CUST00069</t>
  </si>
  <si>
    <t>Continental Manufacturing</t>
  </si>
  <si>
    <t>CUST00070</t>
  </si>
  <si>
    <t>CUST00071</t>
  </si>
  <si>
    <t>CUST00072</t>
  </si>
  <si>
    <t>Continental Distribution</t>
  </si>
  <si>
    <t>CUST00073</t>
  </si>
  <si>
    <t>Pacific Supply Chain</t>
  </si>
  <si>
    <t>CUST00074</t>
  </si>
  <si>
    <t>First Industries</t>
  </si>
  <si>
    <t>CUST00075</t>
  </si>
  <si>
    <t>Elite Corp</t>
  </si>
  <si>
    <t>CUST00076</t>
  </si>
  <si>
    <t>CUST00077</t>
  </si>
  <si>
    <t>Metro Group</t>
  </si>
  <si>
    <t>CUST00078</t>
  </si>
  <si>
    <t>CUST00079</t>
  </si>
  <si>
    <t>Pacific Logistics</t>
  </si>
  <si>
    <t>CUST00080</t>
  </si>
  <si>
    <t>First Distribution</t>
  </si>
  <si>
    <t>CUST00081</t>
  </si>
  <si>
    <t>ABC Wholesale</t>
  </si>
  <si>
    <t>CUST00082</t>
  </si>
  <si>
    <t>Global Logistics</t>
  </si>
  <si>
    <t>CUST00083</t>
  </si>
  <si>
    <t>Metro Logistics</t>
  </si>
  <si>
    <t>CUST00084</t>
  </si>
  <si>
    <t>United Foods</t>
  </si>
  <si>
    <t>CUST00085</t>
  </si>
  <si>
    <t>Pacific Manufacturing</t>
  </si>
  <si>
    <t>CUST00086</t>
  </si>
  <si>
    <t>Premier Foods</t>
  </si>
  <si>
    <t>CUST00087</t>
  </si>
  <si>
    <t>CUST00088</t>
  </si>
  <si>
    <t>Continental Foods</t>
  </si>
  <si>
    <t>CUST00089</t>
  </si>
  <si>
    <t>United Group</t>
  </si>
  <si>
    <t>CUST00090</t>
  </si>
  <si>
    <t>CUST00091</t>
  </si>
  <si>
    <t>CUST00092</t>
  </si>
  <si>
    <t>CUST00093</t>
  </si>
  <si>
    <t>CUST00094</t>
  </si>
  <si>
    <t>CUST00095</t>
  </si>
  <si>
    <t>First Foods</t>
  </si>
  <si>
    <t>CUST00096</t>
  </si>
  <si>
    <t>Continental Logistics</t>
  </si>
  <si>
    <t>CUST00097</t>
  </si>
  <si>
    <t>National Wholesale</t>
  </si>
  <si>
    <t>CUST00098</t>
  </si>
  <si>
    <t>National Supply Chain</t>
  </si>
  <si>
    <t>CUST00099</t>
  </si>
  <si>
    <t>CUST00100</t>
  </si>
  <si>
    <t>ABC Foods</t>
  </si>
  <si>
    <t>CUST00101</t>
  </si>
  <si>
    <t>United Corp</t>
  </si>
  <si>
    <t>CUST00102</t>
  </si>
  <si>
    <t>Pacific Industries</t>
  </si>
  <si>
    <t>CUST00103</t>
  </si>
  <si>
    <t>United Supply Chain</t>
  </si>
  <si>
    <t>CUST00104</t>
  </si>
  <si>
    <t>CUST00105</t>
  </si>
  <si>
    <t>CUST00106</t>
  </si>
  <si>
    <t>CUST00107</t>
  </si>
  <si>
    <t>Premier Industries</t>
  </si>
  <si>
    <t>CUST00108</t>
  </si>
  <si>
    <t>Global Distribution</t>
  </si>
  <si>
    <t>CUST00109</t>
  </si>
  <si>
    <t>CUST00110</t>
  </si>
  <si>
    <t>Continental Group</t>
  </si>
  <si>
    <t>CUST00111</t>
  </si>
  <si>
    <t>CUST00112</t>
  </si>
  <si>
    <t>CUST00113</t>
  </si>
  <si>
    <t>CUST00114</t>
  </si>
  <si>
    <t>Premier Manufacturing</t>
  </si>
  <si>
    <t>CUST00115</t>
  </si>
  <si>
    <t>Global Corp</t>
  </si>
  <si>
    <t>CUST00116</t>
  </si>
  <si>
    <t>Premier Logistics</t>
  </si>
  <si>
    <t>CUST00117</t>
  </si>
  <si>
    <t>Superior Industries</t>
  </si>
  <si>
    <t>CUST00118</t>
  </si>
  <si>
    <t>CUST00119</t>
  </si>
  <si>
    <t>CUST00120</t>
  </si>
  <si>
    <t>Superior Corp</t>
  </si>
  <si>
    <t>CUST00121</t>
  </si>
  <si>
    <t>CUST00122</t>
  </si>
  <si>
    <t>Metro Foods</t>
  </si>
  <si>
    <t>CUST00123</t>
  </si>
  <si>
    <t>CUST00124</t>
  </si>
  <si>
    <t>First Supply Chain</t>
  </si>
  <si>
    <t>CUST00125</t>
  </si>
  <si>
    <t>XYZ Supply Chain</t>
  </si>
  <si>
    <t>CUST00126</t>
  </si>
  <si>
    <t>First Retail</t>
  </si>
  <si>
    <t>CUST00127</t>
  </si>
  <si>
    <t>Global Group</t>
  </si>
  <si>
    <t>CUST00128</t>
  </si>
  <si>
    <t>XYZ Group</t>
  </si>
  <si>
    <t>CUST00129</t>
  </si>
  <si>
    <t>CUST00130</t>
  </si>
  <si>
    <t>CUST00131</t>
  </si>
  <si>
    <t>National Distribution</t>
  </si>
  <si>
    <t>CUST00132</t>
  </si>
  <si>
    <t>Superior Retail</t>
  </si>
  <si>
    <t>CUST00133</t>
  </si>
  <si>
    <t>CUST00134</t>
  </si>
  <si>
    <t>CUST00135</t>
  </si>
  <si>
    <t>Premier Retail</t>
  </si>
  <si>
    <t>CUST00136</t>
  </si>
  <si>
    <t>CUST00137</t>
  </si>
  <si>
    <t>CUST00138</t>
  </si>
  <si>
    <t>CUST00139</t>
  </si>
  <si>
    <t>CUST00140</t>
  </si>
  <si>
    <t>CUST00141</t>
  </si>
  <si>
    <t>CUST00142</t>
  </si>
  <si>
    <t>CUST00143</t>
  </si>
  <si>
    <t>CUST00144</t>
  </si>
  <si>
    <t>CUST00145</t>
  </si>
  <si>
    <t>National Foods</t>
  </si>
  <si>
    <t>CUST00146</t>
  </si>
  <si>
    <t>CUST00147</t>
  </si>
  <si>
    <t>ABC Group</t>
  </si>
  <si>
    <t>CUST00148</t>
  </si>
  <si>
    <t>CUST00149</t>
  </si>
  <si>
    <t>CUST00150</t>
  </si>
  <si>
    <t>CUST00151</t>
  </si>
  <si>
    <t>CUST00152</t>
  </si>
  <si>
    <t>CUST00153</t>
  </si>
  <si>
    <t>CUST00154</t>
  </si>
  <si>
    <t>CUST00155</t>
  </si>
  <si>
    <t>CUST00156</t>
  </si>
  <si>
    <t>CUST00157</t>
  </si>
  <si>
    <t>Metro Distribution</t>
  </si>
  <si>
    <t>CUST00158</t>
  </si>
  <si>
    <t>CUST00159</t>
  </si>
  <si>
    <t>CUST00160</t>
  </si>
  <si>
    <t>XYZ Retail</t>
  </si>
  <si>
    <t>CUST00161</t>
  </si>
  <si>
    <t>CUST00162</t>
  </si>
  <si>
    <t>CUST00163</t>
  </si>
  <si>
    <t>CUST00164</t>
  </si>
  <si>
    <t>ABC Industries</t>
  </si>
  <si>
    <t>CUST00165</t>
  </si>
  <si>
    <t>CUST00166</t>
  </si>
  <si>
    <t>CUST00167</t>
  </si>
  <si>
    <t>XYZ Logistics</t>
  </si>
  <si>
    <t>CUST00168</t>
  </si>
  <si>
    <t>Global Foods</t>
  </si>
  <si>
    <t>CUST00169</t>
  </si>
  <si>
    <t>CUST00170</t>
  </si>
  <si>
    <t>CUST00171</t>
  </si>
  <si>
    <t>CUST00172</t>
  </si>
  <si>
    <t>National Industries</t>
  </si>
  <si>
    <t>CUST00173</t>
  </si>
  <si>
    <t>CUST00174</t>
  </si>
  <si>
    <t>CUST00175</t>
  </si>
  <si>
    <t>CUST00176</t>
  </si>
  <si>
    <t>CUST00177</t>
  </si>
  <si>
    <t>CUST00178</t>
  </si>
  <si>
    <t>CUST00179</t>
  </si>
  <si>
    <t>XYZ Corp</t>
  </si>
  <si>
    <t>CUST00180</t>
  </si>
  <si>
    <t>CUST00181</t>
  </si>
  <si>
    <t>CUST00182</t>
  </si>
  <si>
    <t>CUST00183</t>
  </si>
  <si>
    <t>Pacific Foods</t>
  </si>
  <si>
    <t>CUST00184</t>
  </si>
  <si>
    <t>Elite Distribution</t>
  </si>
  <si>
    <t>CUST00185</t>
  </si>
  <si>
    <t>CUST00186</t>
  </si>
  <si>
    <t>CUST00187</t>
  </si>
  <si>
    <t>CUST00188</t>
  </si>
  <si>
    <t>CUST00189</t>
  </si>
  <si>
    <t>CUST00190</t>
  </si>
  <si>
    <t>CUST00191</t>
  </si>
  <si>
    <t>Pacific Group</t>
  </si>
  <si>
    <t>CUST00192</t>
  </si>
  <si>
    <t>CUST00193</t>
  </si>
  <si>
    <t>Premier Supply Chain</t>
  </si>
  <si>
    <t>CUST00194</t>
  </si>
  <si>
    <t>CUST00195</t>
  </si>
  <si>
    <t>CUST00196</t>
  </si>
  <si>
    <t>CUST00197</t>
  </si>
  <si>
    <t>CUST00198</t>
  </si>
  <si>
    <t>Elite Wholesale</t>
  </si>
  <si>
    <t>CUST00199</t>
  </si>
  <si>
    <t>CUST00200</t>
  </si>
  <si>
    <t>year</t>
  </si>
  <si>
    <t>month</t>
  </si>
  <si>
    <t>Grand Total</t>
  </si>
  <si>
    <t>Total</t>
  </si>
  <si>
    <t>(All)</t>
  </si>
  <si>
    <t>Count of customer_id</t>
  </si>
  <si>
    <t>Count of account_status</t>
  </si>
  <si>
    <t>OTHERS</t>
  </si>
  <si>
    <t>OTHER</t>
  </si>
  <si>
    <t xml:space="preserve">SPOT </t>
  </si>
  <si>
    <t xml:space="preserve">DEDICATED </t>
  </si>
  <si>
    <t xml:space="preserve">CONTRACT </t>
  </si>
  <si>
    <t xml:space="preserve">ACTIVE </t>
  </si>
  <si>
    <t>INACTIVE</t>
  </si>
  <si>
    <t>Sum of annual_revenue_potential</t>
  </si>
  <si>
    <t>Count of primary_freight_type</t>
  </si>
  <si>
    <t>Count of customer_type</t>
  </si>
  <si>
    <t>Average of annual_revenue_potential</t>
  </si>
  <si>
    <t>AVERAGE REVENUE PER CUSTOMER</t>
  </si>
  <si>
    <t>Count of credit_terms_days</t>
  </si>
  <si>
    <t>2020</t>
  </si>
  <si>
    <t>2021</t>
  </si>
  <si>
    <t>2022</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</si>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</sst>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quot;M&quot;"/>
  </numFmts>
  <fonts count="19" x14ac:knownFonts="1">
    <font>
      <sz val="12"/>
      <color theme="1"/>
      <name val="Calibri"/>
      <family val="2"/>
      <scheme val="minor"/>
    </font>
    <font>
      <sz val="12"/>
      <color indexed="8"/>
      <name val="Calibri"/>
      <family val="2"/>
    </font>
    <font>
      <sz val="12"/>
      <color theme="1"/>
      <name val="Calibri"/>
      <family val="2"/>
      <scheme val="minor"/>
    </font>
    <font>
      <sz val="12"/>
      <color theme="0"/>
      <name val="Calibri"/>
      <family val="2"/>
      <scheme val="minor"/>
    </font>
    <font>
      <sz val="12"/>
      <color rgb="FF9C0006"/>
      <name val="Calibri"/>
      <family val="2"/>
      <scheme val="minor"/>
    </font>
    <font>
      <b/>
      <sz val="12"/>
      <color indexed="52"/>
      <name val="Calibri"/>
      <family val="2"/>
      <scheme val="minor"/>
    </font>
    <font>
      <b/>
      <sz val="12"/>
      <color theme="0"/>
      <name val="Calibri"/>
      <family val="2"/>
      <scheme val="minor"/>
    </font>
    <font>
      <i/>
      <sz val="12"/>
      <color rgb="FF7F7F7F"/>
      <name val="Calibri"/>
      <family val="2"/>
      <scheme val="minor"/>
    </font>
    <font>
      <sz val="12"/>
      <color rgb="FF006100"/>
      <name val="Calibri"/>
      <family val="2"/>
      <scheme val="minor"/>
    </font>
    <font>
      <b/>
      <sz val="15"/>
      <color indexed="54"/>
      <name val="Calibri"/>
      <family val="2"/>
      <scheme val="minor"/>
    </font>
    <font>
      <b/>
      <sz val="13"/>
      <color indexed="54"/>
      <name val="Calibri"/>
      <family val="2"/>
      <scheme val="minor"/>
    </font>
    <font>
      <b/>
      <sz val="11"/>
      <color indexed="54"/>
      <name val="Calibri"/>
      <family val="2"/>
      <scheme val="minor"/>
    </font>
    <font>
      <sz val="12"/>
      <color rgb="FF3F3F76"/>
      <name val="Calibri"/>
      <family val="2"/>
      <scheme val="minor"/>
    </font>
    <font>
      <sz val="12"/>
      <color indexed="52"/>
      <name val="Calibri"/>
      <family val="2"/>
      <scheme val="minor"/>
    </font>
    <font>
      <sz val="12"/>
      <color rgb="FF9C5700"/>
      <name val="Calibri"/>
      <family val="2"/>
      <scheme val="minor"/>
    </font>
    <font>
      <b/>
      <sz val="12"/>
      <color rgb="FF3F3F3F"/>
      <name val="Calibri"/>
      <family val="2"/>
      <scheme val="minor"/>
    </font>
    <font>
      <sz val="18"/>
      <color indexed="54"/>
      <name val="Calibri Light"/>
      <family val="2"/>
      <scheme val="major"/>
    </font>
    <font>
      <b/>
      <sz val="12"/>
      <color theme="1"/>
      <name val="Calibri"/>
      <family val="2"/>
      <scheme val="minor"/>
    </font>
    <font>
      <sz val="12"/>
      <color rgb="FFFF0000"/>
      <name val="Calibri"/>
      <family val="2"/>
      <scheme val="minor"/>
    </font>
  </fonts>
  <fills count="27">
    <fill>
      <patternFill patternType="none"/>
    </fill>
    <fill>
      <patternFill patternType="gray125"/>
    </fill>
    <fill>
      <patternFill patternType="solid">
        <fgColor indexed="31"/>
      </patternFill>
    </fill>
    <fill>
      <patternFill patternType="solid">
        <fgColor indexed="22"/>
      </patternFill>
    </fill>
    <fill>
      <patternFill patternType="solid">
        <fgColor indexed="9"/>
      </patternFill>
    </fill>
    <fill>
      <patternFill patternType="solid">
        <fgColor indexed="27"/>
      </patternFill>
    </fill>
    <fill>
      <patternFill patternType="solid">
        <fgColor indexed="42"/>
      </patternFill>
    </fill>
    <fill>
      <patternFill patternType="solid">
        <fgColor indexed="43"/>
      </patternFill>
    </fill>
    <fill>
      <patternFill patternType="solid">
        <fgColor indexed="49"/>
      </patternFill>
    </fill>
    <fill>
      <patternFill patternType="solid">
        <fgColor indexed="57"/>
      </patternFill>
    </fill>
    <fill>
      <patternFill patternType="solid">
        <fgColor indexed="62"/>
      </patternFill>
    </fill>
    <fill>
      <patternFill patternType="solid">
        <fgColor indexed="53"/>
      </patternFill>
    </fill>
    <fill>
      <patternFill patternType="solid">
        <fgColor indexed="51"/>
      </patternFill>
    </fill>
    <fill>
      <patternFill patternType="solid">
        <fgColor indexed="45"/>
      </patternFill>
    </fill>
    <fill>
      <patternFill patternType="solid">
        <fgColor theme="7"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6"/>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
      <patternFill patternType="solid">
        <fgColor theme="1"/>
        <bgColor indexed="64"/>
      </patternFill>
    </fill>
  </fills>
  <borders count="24">
    <border>
      <left/>
      <right/>
      <top/>
      <bottom/>
      <diagonal/>
    </border>
    <border>
      <left/>
      <right/>
      <top/>
      <bottom style="thick">
        <color indexed="62"/>
      </bottom>
      <diagonal/>
    </border>
    <border>
      <left/>
      <right/>
      <top/>
      <bottom style="medium">
        <color indexed="49"/>
      </bottom>
      <diagonal/>
    </border>
    <border>
      <left/>
      <right/>
      <top/>
      <bottom style="double">
        <color indexed="52"/>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999999"/>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1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1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21" borderId="0" applyNumberFormat="0" applyBorder="0" applyAlignment="0" applyProtection="0"/>
    <xf numFmtId="0" fontId="3" fillId="12" borderId="0" applyNumberFormat="0" applyBorder="0" applyAlignment="0" applyProtection="0"/>
    <xf numFmtId="0" fontId="3" fillId="22" borderId="0" applyNumberFormat="0" applyBorder="0" applyAlignment="0" applyProtection="0"/>
    <xf numFmtId="0" fontId="3" fillId="9" borderId="0" applyNumberFormat="0" applyBorder="0" applyAlignment="0" applyProtection="0"/>
    <xf numFmtId="0" fontId="4" fillId="13" borderId="0" applyNumberFormat="0" applyBorder="0" applyAlignment="0" applyProtection="0"/>
    <xf numFmtId="0" fontId="5" fillId="3" borderId="5" applyNumberFormat="0" applyAlignment="0" applyProtection="0"/>
    <xf numFmtId="0" fontId="6" fillId="23" borderId="6" applyNumberFormat="0" applyAlignment="0" applyProtection="0"/>
    <xf numFmtId="0" fontId="7" fillId="0" borderId="0" applyNumberFormat="0" applyFill="0" applyBorder="0" applyAlignment="0" applyProtection="0"/>
    <xf numFmtId="0" fontId="8" fillId="6" borderId="0" applyNumberFormat="0" applyBorder="0" applyAlignment="0" applyProtection="0"/>
    <xf numFmtId="0" fontId="9" fillId="0" borderId="1" applyNumberFormat="0" applyFill="0" applyAlignment="0" applyProtection="0"/>
    <xf numFmtId="0" fontId="10" fillId="0" borderId="7" applyNumberFormat="0" applyFill="0" applyAlignment="0" applyProtection="0"/>
    <xf numFmtId="0" fontId="11" fillId="0" borderId="2" applyNumberFormat="0" applyFill="0" applyAlignment="0" applyProtection="0"/>
    <xf numFmtId="0" fontId="11" fillId="0" borderId="0" applyNumberFormat="0" applyFill="0" applyBorder="0" applyAlignment="0" applyProtection="0"/>
    <xf numFmtId="0" fontId="12" fillId="3" borderId="5" applyNumberFormat="0" applyAlignment="0" applyProtection="0"/>
    <xf numFmtId="0" fontId="13" fillId="0" borderId="3" applyNumberFormat="0" applyFill="0" applyAlignment="0" applyProtection="0"/>
    <xf numFmtId="0" fontId="14" fillId="24" borderId="0" applyNumberFormat="0" applyBorder="0" applyAlignment="0" applyProtection="0"/>
    <xf numFmtId="0" fontId="1" fillId="25" borderId="8" applyNumberFormat="0" applyFont="0" applyAlignment="0" applyProtection="0"/>
    <xf numFmtId="0" fontId="15" fillId="3" borderId="9" applyNumberFormat="0" applyAlignment="0" applyProtection="0"/>
    <xf numFmtId="9" fontId="1" fillId="0" borderId="0" applyFont="0" applyFill="0" applyBorder="0" applyAlignment="0" applyProtection="0"/>
    <xf numFmtId="0" fontId="16" fillId="0" borderId="0" applyNumberFormat="0" applyFill="0" applyBorder="0" applyAlignment="0" applyProtection="0"/>
    <xf numFmtId="0" fontId="17" fillId="0" borderId="4" applyNumberFormat="0" applyFill="0" applyAlignment="0" applyProtection="0"/>
    <xf numFmtId="0" fontId="18" fillId="0" borderId="0" applyNumberFormat="0" applyFill="0" applyBorder="0" applyAlignment="0" applyProtection="0"/>
  </cellStyleXfs>
  <cellXfs count="34">
    <xf numFmtId="0" fontId="0" fillId="0" borderId="0" xfId="0"/>
    <xf numFmtId="14" fontId="0" fillId="0" borderId="0" xfId="0" applyNumberFormat="1"/>
    <xf numFmtId="0" fontId="0" fillId="0" borderId="10" xfId="0" applyBorder="1"/>
    <xf numFmtId="0" fontId="0" fillId="0" borderId="10" xfId="0" pivotButton="1" applyBorder="1"/>
    <xf numFmtId="0" fontId="0" fillId="0" borderId="11" xfId="0" applyBorder="1"/>
    <xf numFmtId="0" fontId="0" fillId="0" borderId="12" xfId="0" applyBorder="1"/>
    <xf numFmtId="0" fontId="0" fillId="0" borderId="13" xfId="0" applyBorder="1"/>
    <xf numFmtId="0" fontId="0" fillId="0" borderId="15" xfId="0" applyBorder="1"/>
    <xf numFmtId="0" fontId="0" fillId="0" borderId="15" xfId="0" pivotButton="1" applyBorder="1"/>
    <xf numFmtId="0" fontId="0" fillId="26" borderId="0" xfId="0" applyFill="1"/>
    <xf numFmtId="9" fontId="0" fillId="0" borderId="0" xfId="39" applyFont="1"/>
    <xf numFmtId="164" fontId="0" fillId="0" borderId="0" xfId="39" applyNumberFormat="1" applyFont="1"/>
    <xf numFmtId="1" fontId="0" fillId="0" borderId="15" xfId="0" applyNumberFormat="1" applyBorder="1"/>
    <xf numFmtId="1" fontId="0" fillId="0" borderId="13" xfId="0" applyNumberFormat="1" applyBorder="1"/>
    <xf numFmtId="1" fontId="0" fillId="0" borderId="14"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1" fontId="0" fillId="0" borderId="10" xfId="0" applyNumberFormat="1" applyBorder="1"/>
    <xf numFmtId="1" fontId="0" fillId="0" borderId="16" xfId="0" applyNumberFormat="1" applyBorder="1"/>
    <xf numFmtId="1" fontId="0" fillId="0" borderId="17" xfId="0" applyNumberFormat="1" applyBorder="1"/>
    <xf numFmtId="1" fontId="0" fillId="0" borderId="18" xfId="0" applyNumberFormat="1" applyBorder="1"/>
    <xf numFmtId="1" fontId="0" fillId="0" borderId="19" xfId="0" applyNumberFormat="1" applyBorder="1"/>
    <xf numFmtId="1" fontId="0" fillId="0" borderId="20" xfId="0" applyNumberFormat="1" applyBorder="1"/>
    <xf numFmtId="1" fontId="0" fillId="0" borderId="21" xfId="0" applyNumberFormat="1" applyBorder="1"/>
    <xf numFmtId="1" fontId="0" fillId="0" borderId="22" xfId="0" applyNumberFormat="1" applyBorder="1"/>
    <xf numFmtId="1" fontId="0" fillId="0" borderId="23" xfId="0" applyNumberFormat="1" applyBorder="1"/>
    <xf numFmtId="165" fontId="0" fillId="0" borderId="15" xfId="0" applyNumberFormat="1" applyBorder="1"/>
    <xf numFmtId="165" fontId="0" fillId="0" borderId="0" xfId="0" applyNumberFormat="1"/>
    <xf numFmtId="0" fontId="0" fillId="0" borderId="13" xfId="0" applyNumberFormat="1" applyBorder="1"/>
    <xf numFmtId="0" fontId="0" fillId="0" borderId="14" xfId="0" applyNumberFormat="1" applyBorder="1"/>
    <xf numFmtId="0" fontId="0" fillId="0" borderId="15" xfId="0" applyNumberFormat="1" applyBorder="1"/>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Per cent" xfId="39" builtinId="5"/>
    <cellStyle name="Title" xfId="40" builtinId="15" customBuiltin="1"/>
    <cellStyle name="Total" xfId="41" builtinId="25" customBuiltin="1"/>
    <cellStyle name="Warning Text" xfId="42" builtinId="11" customBuiltin="1"/>
  </cellStyles>
  <dxfs count="47">
    <dxf>
      <numFmt numFmtId="1" formatCode="0"/>
    </dxf>
    <dxf>
      <numFmt numFmtId="1" formatCode="0"/>
    </dxf>
    <dxf>
      <numFmt numFmtId="1" formatCode="0"/>
    </dxf>
    <dxf>
      <numFmt numFmtId="165" formatCode="0.0,,&quot;M&quot;"/>
    </dxf>
    <dxf>
      <numFmt numFmtId="165" formatCode="0.0,,&quot;M&quot;"/>
    </dxf>
    <dxf>
      <numFmt numFmtId="1" formatCode="0"/>
    </dxf>
    <dxf>
      <numFmt numFmtId="1" formatCode="0"/>
    </dxf>
    <dxf>
      <numFmt numFmtId="1" formatCode="0"/>
    </dxf>
    <dxf>
      <numFmt numFmtId="1" formatCode="0"/>
    </dxf>
    <dxf>
      <numFmt numFmtId="1" formatCode="0"/>
    </dxf>
    <dxf>
      <numFmt numFmtId="1" formatCode="0"/>
    </dxf>
    <dxf>
      <numFmt numFmtId="165" formatCode="0.0,,&quot;M&quot;"/>
    </dxf>
    <dxf>
      <numFmt numFmtId="165" formatCode="0.0,,&quot;M&quot;"/>
    </dxf>
    <dxf>
      <numFmt numFmtId="1" formatCode="0"/>
    </dxf>
    <dxf>
      <numFmt numFmtId="1" formatCode="0"/>
    </dxf>
    <dxf>
      <numFmt numFmtId="1" formatCode="0"/>
    </dxf>
    <dxf>
      <numFmt numFmtId="165" formatCode="0.0,,&quot;M&quot;"/>
    </dxf>
    <dxf>
      <numFmt numFmtId="165" formatCode="0.0,,&quot;M&quot;"/>
    </dxf>
    <dxf>
      <numFmt numFmtId="1" formatCode="0"/>
    </dxf>
    <dxf>
      <numFmt numFmtId="1" formatCode="0"/>
    </dxf>
    <dxf>
      <numFmt numFmtId="1" formatCode="0"/>
    </dxf>
    <dxf>
      <numFmt numFmtId="1" formatCode="0"/>
    </dxf>
    <dxf>
      <numFmt numFmtId="165" formatCode="0.0,,&quot;M&quot;"/>
    </dxf>
    <dxf>
      <numFmt numFmtId="165" formatCode="0.0,,&quot;M&quot;"/>
    </dxf>
    <dxf>
      <numFmt numFmtId="1" formatCode="0"/>
    </dxf>
    <dxf>
      <numFmt numFmtId="1" formatCode="0"/>
    </dxf>
    <dxf>
      <numFmt numFmtId="1" formatCode="0"/>
    </dxf>
    <dxf>
      <numFmt numFmtId="165" formatCode="0.0,,&quot;M&quot;"/>
    </dxf>
    <dxf>
      <numFmt numFmtId="165" formatCode="0.0,,&quot;M&quot;"/>
    </dxf>
    <dxf>
      <numFmt numFmtId="1" formatCode="0"/>
    </dxf>
    <dxf>
      <numFmt numFmtId="1" formatCode="0"/>
    </dxf>
    <dxf>
      <numFmt numFmtId="1" formatCode="0"/>
    </dxf>
    <dxf>
      <numFmt numFmtId="165" formatCode="0.0,,&quot;M&quot;"/>
    </dxf>
    <dxf>
      <numFmt numFmtId="165" formatCode="0.0,,&quot;M&quot;"/>
    </dxf>
    <dxf>
      <numFmt numFmtId="1" formatCode="0"/>
    </dxf>
    <dxf>
      <numFmt numFmtId="1" formatCode="0"/>
    </dxf>
    <dxf>
      <numFmt numFmtId="1" formatCode="0"/>
    </dxf>
    <dxf>
      <numFmt numFmtId="165" formatCode="0.0,,&quot;M&quot;"/>
    </dxf>
    <dxf>
      <numFmt numFmtId="165" formatCode="0.0,,&quot;M&quot;"/>
    </dxf>
    <dxf>
      <numFmt numFmtId="1" formatCode="0"/>
    </dxf>
    <dxf>
      <numFmt numFmtId="1" formatCode="0"/>
    </dxf>
    <dxf>
      <numFmt numFmtId="165" formatCode="0.0,,&quot;M&quot;"/>
    </dxf>
    <dxf>
      <numFmt numFmtId="165" formatCode="0.0,,&quot;M&quot;"/>
    </dxf>
    <dxf>
      <numFmt numFmtId="1" formatCode="0"/>
    </dxf>
    <dxf>
      <numFmt numFmtId="0" formatCode="General"/>
    </dxf>
    <dxf>
      <numFmt numFmtId="0" formatCode="General"/>
    </dxf>
    <dxf>
      <numFmt numFmtId="166" formatCode="dd/mm/yyyy"/>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[MUFLIH latest project.xlsx]Sheet1!PivotTable3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Sheet1!$B$34:$B$35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A1-481E-8F62-EC49A8C7D4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A1-481E-8F62-EC49A8C7D4DF}"/>
              </c:ext>
            </c:extLst>
          </c:dPt>
          <c:cat>
            <c:strRef>
              <c:f>Sheet1!$A$36:$A$38</c:f>
              <c:strCache>
                <c:ptCount val="2"/>
                <c:pt idx="0">
                  <c:v>Active</c:v>
                </c:pt>
                <c:pt idx="1">
                  <c:v>Inactive</c:v>
                </c:pt>
              </c:strCache>
            </c:strRef>
          </c:cat>
          <c:val>
            <c:numRef>
              <c:f>Sheet1!$B$36:$B$38</c:f>
              <c:numCache>
                <c:formatCode>General</c:formatCode>
                <c:ptCount val="2"/>
                <c:pt idx="0">
                  <c:v>168</c:v>
                </c:pt>
                <c:pt idx="1">
                  <c:v>32</c:v>
                </c:pt>
              </c:numCache>
            </c:numRef>
          </c:val>
          <c:extLst>
            <c:ext xmlns:c16="http://schemas.microsoft.com/office/drawing/2014/chart" uri="{C3380CC4-5D6E-409C-BE32-E72D297353CC}">
              <c16:uniqueId val="{00000000-D8E6-4FF2-BC65-261A40C36D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[MUFLIH latest project.xlsx]Sheet1!PivotTable4</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barChart>
        <c:barDir val="bar"/>
        <c:grouping val="clustered"/>
        <c:varyColors val="0"/>
        <c:ser>
          <c:idx val="0"/>
          <c:order val="0"/>
          <c:tx>
            <c:strRef>
              <c:f>Sheet1!$B$47:$B$48</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A0B9-4752-9400-A1930C6B6C66}"/>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A0B9-4752-9400-A1930C6B6C66}"/>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A0B9-4752-9400-A1930C6B6C66}"/>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A0B9-4752-9400-A1930C6B6C66}"/>
              </c:ext>
            </c:extLst>
          </c:dPt>
          <c:dPt>
            <c:idx val="4"/>
            <c:invertIfNegative val="0"/>
            <c:bubble3D val="0"/>
            <c:extLst>
              <c:ext xmlns:c16="http://schemas.microsoft.com/office/drawing/2014/chart" uri="{C3380CC4-5D6E-409C-BE32-E72D297353CC}">
                <c16:uniqueId val="{00000009-A0B9-4752-9400-A1930C6B6C66}"/>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A0B9-4752-9400-A1930C6B6C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Sheet1!$A$49:$A$55</c:f>
              <c:strCache>
                <c:ptCount val="6"/>
                <c:pt idx="0">
                  <c:v>Automotive</c:v>
                </c:pt>
                <c:pt idx="1">
                  <c:v>Consumer Goods</c:v>
                </c:pt>
                <c:pt idx="2">
                  <c:v>Electronics</c:v>
                </c:pt>
                <c:pt idx="3">
                  <c:v>Food/Beverage</c:v>
                </c:pt>
                <c:pt idx="4">
                  <c:v>General</c:v>
                </c:pt>
                <c:pt idx="5">
                  <c:v>Retail</c:v>
                </c:pt>
              </c:strCache>
            </c:strRef>
          </c:cat>
          <c:val>
            <c:numRef>
              <c:f>Sheet1!$B$49:$B$55</c:f>
              <c:numCache>
                <c:formatCode>General</c:formatCode>
                <c:ptCount val="6"/>
                <c:pt idx="0">
                  <c:v>41</c:v>
                </c:pt>
                <c:pt idx="1">
                  <c:v>30</c:v>
                </c:pt>
                <c:pt idx="2">
                  <c:v>33</c:v>
                </c:pt>
                <c:pt idx="3">
                  <c:v>37</c:v>
                </c:pt>
                <c:pt idx="4">
                  <c:v>24</c:v>
                </c:pt>
                <c:pt idx="5">
                  <c:v>35</c:v>
                </c:pt>
              </c:numCache>
            </c:numRef>
          </c:val>
          <c:extLst>
            <c:ext xmlns:c16="http://schemas.microsoft.com/office/drawing/2014/chart" uri="{C3380CC4-5D6E-409C-BE32-E72D297353CC}">
              <c16:uniqueId val="{00000000-18C8-435F-B9A5-8113B3CC6B18}"/>
            </c:ext>
          </c:extLst>
        </c:ser>
        <c:dLbls>
          <c:showLegendKey val="0"/>
          <c:showVal val="0"/>
          <c:showCatName val="0"/>
          <c:showSerName val="0"/>
          <c:showPercent val="0"/>
          <c:showBubbleSize val="0"/>
        </c:dLbls>
        <c:gapWidth val="100"/>
        <c:axId val="255444319"/>
        <c:axId val="309380479"/>
      </c:barChart>
      <c:valAx>
        <c:axId val="309380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44319"/>
        <c:crosses val="autoZero"/>
        <c:crossBetween val="between"/>
      </c:valAx>
      <c:catAx>
        <c:axId val="2554443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804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AC-401F-98BA-8E838D51EA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AC-401F-98BA-8E838D51EAAF}"/>
              </c:ext>
            </c:extLst>
          </c:dPt>
          <c:val>
            <c:numRef>
              <c:f>Sheet1!$G$11:$G$12</c:f>
              <c:numCache>
                <c:formatCode>0%</c:formatCode>
                <c:ptCount val="2"/>
                <c:pt idx="0">
                  <c:v>0.375</c:v>
                </c:pt>
                <c:pt idx="1">
                  <c:v>0.625</c:v>
                </c:pt>
              </c:numCache>
            </c:numRef>
          </c:val>
          <c:extLst>
            <c:ext xmlns:c16="http://schemas.microsoft.com/office/drawing/2014/chart" uri="{C3380CC4-5D6E-409C-BE32-E72D297353CC}">
              <c16:uniqueId val="{00000000-9C02-4C42-B339-688DF9339E3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50-45A3-8F90-7C6C24B519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50-45A3-8F90-7C6C24B519D9}"/>
              </c:ext>
            </c:extLst>
          </c:dPt>
          <c:val>
            <c:numRef>
              <c:f>Sheet1!$G$17:$G$18</c:f>
              <c:numCache>
                <c:formatCode>0%</c:formatCode>
                <c:ptCount val="2"/>
                <c:pt idx="0">
                  <c:v>0.31</c:v>
                </c:pt>
                <c:pt idx="1">
                  <c:v>0.69</c:v>
                </c:pt>
              </c:numCache>
            </c:numRef>
          </c:val>
          <c:extLst>
            <c:ext xmlns:c16="http://schemas.microsoft.com/office/drawing/2014/chart" uri="{C3380CC4-5D6E-409C-BE32-E72D297353CC}">
              <c16:uniqueId val="{00000000-576B-4677-B483-F403485516B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49-4FF7-BBED-AF2E78363B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49-4FF7-BBED-AF2E78363B3B}"/>
              </c:ext>
            </c:extLst>
          </c:dPt>
          <c:val>
            <c:numRef>
              <c:f>Sheet1!$G$23:$G$24</c:f>
              <c:numCache>
                <c:formatCode>0%</c:formatCode>
                <c:ptCount val="2"/>
                <c:pt idx="0">
                  <c:v>0.315</c:v>
                </c:pt>
                <c:pt idx="1">
                  <c:v>0.68500000000000005</c:v>
                </c:pt>
              </c:numCache>
            </c:numRef>
          </c:val>
          <c:extLst>
            <c:ext xmlns:c16="http://schemas.microsoft.com/office/drawing/2014/chart" uri="{C3380CC4-5D6E-409C-BE32-E72D297353CC}">
              <c16:uniqueId val="{00000000-02B3-4CB9-A02E-5E93F722175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[MUFLIH latest project.xlsx]Sheet1!PivotTable3</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tx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2">
              <a:lumMod val="75000"/>
            </a:schemeClr>
          </a:solidFill>
          <a:ln w="19050">
            <a:noFill/>
          </a:ln>
          <a:effectLst/>
        </c:spPr>
      </c:pivotFmt>
      <c:pivotFmt>
        <c:idx val="6"/>
        <c:spPr>
          <a:solidFill>
            <a:schemeClr val="tx1"/>
          </a:solidFill>
          <a:ln w="19050">
            <a:noFill/>
          </a:ln>
          <a:effectLst/>
        </c:spPr>
      </c:pivotFmt>
    </c:pivotFmts>
    <c:plotArea>
      <c:layout/>
      <c:pieChart>
        <c:varyColors val="1"/>
        <c:ser>
          <c:idx val="0"/>
          <c:order val="0"/>
          <c:tx>
            <c:strRef>
              <c:f>Sheet1!$B$34:$B$35</c:f>
              <c:strCache>
                <c:ptCount val="1"/>
                <c:pt idx="0">
                  <c:v>Total</c:v>
                </c:pt>
              </c:strCache>
            </c:strRef>
          </c:tx>
          <c:spPr>
            <a:solidFill>
              <a:schemeClr val="tx1"/>
            </a:solidFill>
            <a:ln>
              <a:noFill/>
            </a:ln>
          </c:spPr>
          <c:dPt>
            <c:idx val="0"/>
            <c:bubble3D val="0"/>
            <c:spPr>
              <a:solidFill>
                <a:schemeClr val="bg2">
                  <a:lumMod val="75000"/>
                </a:schemeClr>
              </a:solidFill>
              <a:ln w="19050">
                <a:noFill/>
              </a:ln>
              <a:effectLst/>
            </c:spPr>
            <c:extLst>
              <c:ext xmlns:c16="http://schemas.microsoft.com/office/drawing/2014/chart" uri="{C3380CC4-5D6E-409C-BE32-E72D297353CC}">
                <c16:uniqueId val="{00000001-E486-4409-ABDD-4AF6D7566DD2}"/>
              </c:ext>
            </c:extLst>
          </c:dPt>
          <c:dPt>
            <c:idx val="1"/>
            <c:bubble3D val="0"/>
            <c:spPr>
              <a:solidFill>
                <a:schemeClr val="tx1"/>
              </a:solidFill>
              <a:ln w="19050">
                <a:noFill/>
              </a:ln>
              <a:effectLst/>
            </c:spPr>
            <c:extLst>
              <c:ext xmlns:c16="http://schemas.microsoft.com/office/drawing/2014/chart" uri="{C3380CC4-5D6E-409C-BE32-E72D297353CC}">
                <c16:uniqueId val="{00000003-E486-4409-ABDD-4AF6D7566D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Sheet1!$A$36:$A$38</c:f>
              <c:strCache>
                <c:ptCount val="2"/>
                <c:pt idx="0">
                  <c:v>Active</c:v>
                </c:pt>
                <c:pt idx="1">
                  <c:v>Inactive</c:v>
                </c:pt>
              </c:strCache>
            </c:strRef>
          </c:cat>
          <c:val>
            <c:numRef>
              <c:f>Sheet1!$B$36:$B$38</c:f>
              <c:numCache>
                <c:formatCode>General</c:formatCode>
                <c:ptCount val="2"/>
                <c:pt idx="0">
                  <c:v>168</c:v>
                </c:pt>
                <c:pt idx="1">
                  <c:v>32</c:v>
                </c:pt>
              </c:numCache>
            </c:numRef>
          </c:val>
          <c:extLst>
            <c:ext xmlns:c16="http://schemas.microsoft.com/office/drawing/2014/chart" uri="{C3380CC4-5D6E-409C-BE32-E72D297353CC}">
              <c16:uniqueId val="{00000004-E486-4409-ABDD-4AF6D7566DD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7457865473062697"/>
          <c:y val="0.36730747545445708"/>
          <c:w val="0.21556612439951142"/>
          <c:h val="0.166619616992320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CONTRACT</a:t>
            </a:r>
          </a:p>
        </c:rich>
      </c:tx>
      <c:layout>
        <c:manualLayout>
          <c:xMode val="edge"/>
          <c:yMode val="edge"/>
          <c:x val="0.13886572178477691"/>
          <c:y val="0.1230769230769230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bg2">
                  <a:lumMod val="75000"/>
                </a:schemeClr>
              </a:solidFill>
              <a:ln w="19050">
                <a:noFill/>
              </a:ln>
              <a:effectLst/>
            </c:spPr>
            <c:extLst>
              <c:ext xmlns:c16="http://schemas.microsoft.com/office/drawing/2014/chart" uri="{C3380CC4-5D6E-409C-BE32-E72D297353CC}">
                <c16:uniqueId val="{00000001-A68F-4017-A7B1-7601A2643567}"/>
              </c:ext>
            </c:extLst>
          </c:dPt>
          <c:dPt>
            <c:idx val="1"/>
            <c:bubble3D val="0"/>
            <c:spPr>
              <a:solidFill>
                <a:schemeClr val="tx1"/>
              </a:solidFill>
              <a:ln w="19050">
                <a:noFill/>
              </a:ln>
              <a:effectLst/>
            </c:spPr>
            <c:extLst>
              <c:ext xmlns:c16="http://schemas.microsoft.com/office/drawing/2014/chart" uri="{C3380CC4-5D6E-409C-BE32-E72D297353CC}">
                <c16:uniqueId val="{00000003-A68F-4017-A7B1-7601A26435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Sheet1!$G$11:$G$12</c:f>
              <c:numCache>
                <c:formatCode>0%</c:formatCode>
                <c:ptCount val="2"/>
                <c:pt idx="0">
                  <c:v>0.375</c:v>
                </c:pt>
                <c:pt idx="1">
                  <c:v>0.625</c:v>
                </c:pt>
              </c:numCache>
            </c:numRef>
          </c:val>
          <c:extLst>
            <c:ext xmlns:c16="http://schemas.microsoft.com/office/drawing/2014/chart" uri="{C3380CC4-5D6E-409C-BE32-E72D297353CC}">
              <c16:uniqueId val="{00000004-A68F-4017-A7B1-7601A264356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DEDICATED</a:t>
            </a:r>
          </a:p>
        </c:rich>
      </c:tx>
      <c:layout>
        <c:manualLayout>
          <c:xMode val="edge"/>
          <c:yMode val="edge"/>
          <c:x val="0.14040325770670883"/>
          <c:y val="0.119603999424181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tx1"/>
              </a:solidFill>
              <a:ln w="19050">
                <a:noFill/>
              </a:ln>
              <a:effectLst/>
            </c:spPr>
            <c:extLst>
              <c:ext xmlns:c16="http://schemas.microsoft.com/office/drawing/2014/chart" uri="{C3380CC4-5D6E-409C-BE32-E72D297353CC}">
                <c16:uniqueId val="{00000001-BC10-4B98-9AD0-4C71C01EBB6E}"/>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BC10-4B98-9AD0-4C71C01EBB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Sheet1!$G$17:$G$18</c:f>
              <c:numCache>
                <c:formatCode>0%</c:formatCode>
                <c:ptCount val="2"/>
                <c:pt idx="0">
                  <c:v>0.31</c:v>
                </c:pt>
                <c:pt idx="1">
                  <c:v>0.69</c:v>
                </c:pt>
              </c:numCache>
            </c:numRef>
          </c:val>
          <c:extLst>
            <c:ext xmlns:c16="http://schemas.microsoft.com/office/drawing/2014/chart" uri="{C3380CC4-5D6E-409C-BE32-E72D297353CC}">
              <c16:uniqueId val="{00000004-BC10-4B98-9AD0-4C71C01EBB6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SPOT</a:t>
            </a:r>
          </a:p>
        </c:rich>
      </c:tx>
      <c:layout>
        <c:manualLayout>
          <c:xMode val="edge"/>
          <c:yMode val="edge"/>
          <c:x val="0.36805871914397714"/>
          <c:y val="0.120000151181292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solidFill>
              <a:schemeClr val="bg2">
                <a:lumMod val="75000"/>
              </a:schemeClr>
            </a:solidFill>
            <a:ln>
              <a:noFill/>
            </a:ln>
          </c:spPr>
          <c:dPt>
            <c:idx val="0"/>
            <c:bubble3D val="0"/>
            <c:spPr>
              <a:solidFill>
                <a:schemeClr val="tx1"/>
              </a:solidFill>
              <a:ln w="19050">
                <a:noFill/>
              </a:ln>
              <a:effectLst/>
            </c:spPr>
            <c:extLst>
              <c:ext xmlns:c16="http://schemas.microsoft.com/office/drawing/2014/chart" uri="{C3380CC4-5D6E-409C-BE32-E72D297353CC}">
                <c16:uniqueId val="{00000001-4715-4D7A-9D1B-2DD40D697BA6}"/>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4715-4D7A-9D1B-2DD40D697B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Sheet1!$G$23:$G$24</c:f>
              <c:numCache>
                <c:formatCode>0%</c:formatCode>
                <c:ptCount val="2"/>
                <c:pt idx="0">
                  <c:v>0.315</c:v>
                </c:pt>
                <c:pt idx="1">
                  <c:v>0.68500000000000005</c:v>
                </c:pt>
              </c:numCache>
            </c:numRef>
          </c:val>
          <c:extLst>
            <c:ext xmlns:c16="http://schemas.microsoft.com/office/drawing/2014/chart" uri="{C3380CC4-5D6E-409C-BE32-E72D297353CC}">
              <c16:uniqueId val="{00000004-4715-4D7A-9D1B-2DD40D697BA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[MUFLIH latest project.xlsx]Sheet1!PivotTable4</c:name>
    <c:fmtId val="29"/>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3"/>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3"/>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5"/>
        <c:spPr>
          <a:solidFill>
            <a:schemeClr val="bg2">
              <a:lumMod val="75000"/>
            </a:schemeClr>
          </a:solidFill>
          <a:ln w="19050">
            <a:solidFill>
              <a:schemeClr val="lt1"/>
            </a:solidFill>
          </a:ln>
          <a:effectLst/>
        </c:spPr>
      </c:pivotFmt>
      <c:pivotFmt>
        <c:idx val="16"/>
        <c:spPr>
          <a:solidFill>
            <a:schemeClr val="accent3"/>
          </a:solidFill>
          <a:ln w="19050">
            <a:solidFill>
              <a:schemeClr val="lt1"/>
            </a:solidFill>
          </a:ln>
          <a:effectLst/>
        </c:spPr>
      </c:pivotFmt>
      <c:pivotFmt>
        <c:idx val="17"/>
        <c:spPr>
          <a:solidFill>
            <a:schemeClr val="accent3"/>
          </a:solidFill>
          <a:ln w="19050">
            <a:solidFill>
              <a:schemeClr val="lt1"/>
            </a:solidFill>
          </a:ln>
          <a:effectLst/>
        </c:spPr>
      </c:pivotFmt>
      <c:pivotFmt>
        <c:idx val="18"/>
        <c:spPr>
          <a:solidFill>
            <a:schemeClr val="accent3"/>
          </a:solidFill>
          <a:ln w="19050">
            <a:solidFill>
              <a:schemeClr val="lt1"/>
            </a:solidFill>
          </a:ln>
          <a:effectLst/>
        </c:spPr>
      </c:pivotFmt>
      <c:pivotFmt>
        <c:idx val="19"/>
        <c:spPr>
          <a:solidFill>
            <a:schemeClr val="accent3"/>
          </a:solidFill>
          <a:ln w="19050">
            <a:solidFill>
              <a:schemeClr val="lt1"/>
            </a:solidFill>
          </a:ln>
          <a:effectLst/>
        </c:spPr>
      </c:pivotFmt>
      <c:pivotFmt>
        <c:idx val="20"/>
        <c:spPr>
          <a:solidFill>
            <a:schemeClr val="accent3"/>
          </a:solidFill>
          <a:ln w="19050">
            <a:solidFill>
              <a:schemeClr val="lt1"/>
            </a:solidFill>
          </a:ln>
          <a:effectLst/>
        </c:spPr>
      </c:pivotFmt>
    </c:pivotFmts>
    <c:plotArea>
      <c:layout/>
      <c:barChart>
        <c:barDir val="bar"/>
        <c:grouping val="clustered"/>
        <c:varyColors val="0"/>
        <c:ser>
          <c:idx val="0"/>
          <c:order val="0"/>
          <c:tx>
            <c:strRef>
              <c:f>Sheet1!$B$47:$B$48</c:f>
              <c:strCache>
                <c:ptCount val="1"/>
                <c:pt idx="0">
                  <c:v>Total</c:v>
                </c:pt>
              </c:strCache>
            </c:strRef>
          </c:tx>
          <c:spPr>
            <a:solidFill>
              <a:schemeClr val="accent3"/>
            </a:solidFill>
            <a:ln w="19050">
              <a:solidFill>
                <a:schemeClr val="lt1"/>
              </a:solidFill>
            </a:ln>
            <a:effectLst/>
          </c:spPr>
          <c:invertIfNegative val="0"/>
          <c:dPt>
            <c:idx val="0"/>
            <c:invertIfNegative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1D79-A744-8FBC-14775EB91D99}"/>
              </c:ext>
            </c:extLst>
          </c:dPt>
          <c:dPt>
            <c:idx val="1"/>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3-1D79-A744-8FBC-14775EB91D99}"/>
              </c:ext>
            </c:extLst>
          </c:dPt>
          <c:dPt>
            <c:idx val="2"/>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5-1D79-A744-8FBC-14775EB91D99}"/>
              </c:ext>
            </c:extLst>
          </c:dPt>
          <c:dPt>
            <c:idx val="3"/>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7-1D79-A744-8FBC-14775EB91D99}"/>
              </c:ext>
            </c:extLst>
          </c:dPt>
          <c:dPt>
            <c:idx val="4"/>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9-1D79-A744-8FBC-14775EB91D99}"/>
              </c:ext>
            </c:extLst>
          </c:dPt>
          <c:dPt>
            <c:idx val="5"/>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B-1D79-A744-8FBC-14775EB91D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Sheet1!$A$49:$A$55</c:f>
              <c:strCache>
                <c:ptCount val="6"/>
                <c:pt idx="0">
                  <c:v>Automotive</c:v>
                </c:pt>
                <c:pt idx="1">
                  <c:v>Consumer Goods</c:v>
                </c:pt>
                <c:pt idx="2">
                  <c:v>Electronics</c:v>
                </c:pt>
                <c:pt idx="3">
                  <c:v>Food/Beverage</c:v>
                </c:pt>
                <c:pt idx="4">
                  <c:v>General</c:v>
                </c:pt>
                <c:pt idx="5">
                  <c:v>Retail</c:v>
                </c:pt>
              </c:strCache>
            </c:strRef>
          </c:cat>
          <c:val>
            <c:numRef>
              <c:f>Sheet1!$B$49:$B$55</c:f>
              <c:numCache>
                <c:formatCode>General</c:formatCode>
                <c:ptCount val="6"/>
                <c:pt idx="0">
                  <c:v>41</c:v>
                </c:pt>
                <c:pt idx="1">
                  <c:v>30</c:v>
                </c:pt>
                <c:pt idx="2">
                  <c:v>33</c:v>
                </c:pt>
                <c:pt idx="3">
                  <c:v>37</c:v>
                </c:pt>
                <c:pt idx="4">
                  <c:v>24</c:v>
                </c:pt>
                <c:pt idx="5">
                  <c:v>35</c:v>
                </c:pt>
              </c:numCache>
            </c:numRef>
          </c:val>
          <c:extLst>
            <c:ext xmlns:c16="http://schemas.microsoft.com/office/drawing/2014/chart" uri="{C3380CC4-5D6E-409C-BE32-E72D297353CC}">
              <c16:uniqueId val="{0000000C-1D79-A744-8FBC-14775EB91D99}"/>
            </c:ext>
          </c:extLst>
        </c:ser>
        <c:dLbls>
          <c:showLegendKey val="0"/>
          <c:showVal val="0"/>
          <c:showCatName val="0"/>
          <c:showSerName val="0"/>
          <c:showPercent val="0"/>
          <c:showBubbleSize val="0"/>
        </c:dLbls>
        <c:gapWidth val="100"/>
        <c:axId val="255444319"/>
        <c:axId val="309380479"/>
      </c:barChart>
      <c:valAx>
        <c:axId val="309380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44319"/>
        <c:crosses val="autoZero"/>
        <c:crossBetween val="between"/>
      </c:valAx>
      <c:catAx>
        <c:axId val="2554443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80479"/>
        <c:crosses val="autoZero"/>
        <c:auto val="1"/>
        <c:lblAlgn val="ctr"/>
        <c:lblOffset val="100"/>
        <c:noMultiLvlLbl val="0"/>
      </c:cat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4"/>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5"/>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1391919</xdr:colOff>
      <xdr:row>29</xdr:row>
      <xdr:rowOff>68580</xdr:rowOff>
    </xdr:from>
    <xdr:to>
      <xdr:col>10</xdr:col>
      <xdr:colOff>1115376</xdr:colOff>
      <xdr:row>43</xdr:row>
      <xdr:rowOff>8255</xdr:rowOff>
    </xdr:to>
    <xdr:graphicFrame macro="">
      <xdr:nvGraphicFramePr>
        <xdr:cNvPr id="9" name="Chart 8">
          <a:extLst>
            <a:ext uri="{FF2B5EF4-FFF2-40B4-BE49-F238E27FC236}">
              <a16:creationId xmlns:a16="http://schemas.microsoft.com/office/drawing/2014/main" id="{33126544-8708-144C-6C02-A3D163BAA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190500</xdr:colOff>
      <xdr:row>3</xdr:row>
      <xdr:rowOff>180975</xdr:rowOff>
    </xdr:from>
    <xdr:to>
      <xdr:col>16</xdr:col>
      <xdr:colOff>152399</xdr:colOff>
      <xdr:row>17</xdr:row>
      <xdr:rowOff>47625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6ACDED0-24F1-8E35-CB00-60A0E1A6BE2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4612600" y="7810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680720</xdr:colOff>
      <xdr:row>47</xdr:row>
      <xdr:rowOff>58420</xdr:rowOff>
    </xdr:from>
    <xdr:to>
      <xdr:col>10</xdr:col>
      <xdr:colOff>1599882</xdr:colOff>
      <xdr:row>60</xdr:row>
      <xdr:rowOff>201295</xdr:rowOff>
    </xdr:to>
    <xdr:graphicFrame macro="">
      <xdr:nvGraphicFramePr>
        <xdr:cNvPr id="10" name="Chart 9">
          <a:extLst>
            <a:ext uri="{FF2B5EF4-FFF2-40B4-BE49-F238E27FC236}">
              <a16:creationId xmlns:a16="http://schemas.microsoft.com/office/drawing/2014/main" id="{67647330-DB1A-1248-C822-C50B47430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57150</xdr:colOff>
      <xdr:row>58</xdr:row>
      <xdr:rowOff>19050</xdr:rowOff>
    </xdr:from>
    <xdr:to>
      <xdr:col>5</xdr:col>
      <xdr:colOff>1513841</xdr:colOff>
      <xdr:row>64</xdr:row>
      <xdr:rowOff>190500</xdr:rowOff>
    </xdr:to>
    <mc:AlternateContent xmlns:mc="http://schemas.openxmlformats.org/markup-compatibility/2006" xmlns:tsle="http://schemas.microsoft.com/office/drawing/2012/timeslicer">
      <mc:Choice Requires="tsle">
        <xdr:graphicFrame macro="">
          <xdr:nvGraphicFramePr>
            <xdr:cNvPr id="11" name="contract_start_date">
              <a:extLst>
                <a:ext uri="{FF2B5EF4-FFF2-40B4-BE49-F238E27FC236}">
                  <a16:creationId xmlns:a16="http://schemas.microsoft.com/office/drawing/2014/main" id="{F958C7F5-9F18-90CD-F2AA-41360C26FDE9}"/>
                </a:ext>
              </a:extLst>
            </xdr:cNvPr>
            <xdr:cNvGraphicFramePr/>
          </xdr:nvGraphicFramePr>
          <xdr:xfrm>
            <a:off x="0" y="0"/>
            <a:ext cx="0" cy="0"/>
          </xdr:xfrm>
          <a:graphic>
            <a:graphicData uri="http://schemas.microsoft.com/office/drawing/2012/timeslicer">
              <tsle:timeslicer name="contract_start_date"/>
            </a:graphicData>
          </a:graphic>
        </xdr:graphicFrame>
      </mc:Choice>
      <mc:Fallback xmlns="">
        <xdr:sp macro="" textlink="">
          <xdr:nvSpPr>
            <xdr:cNvPr id="0" name=""/>
            <xdr:cNvSpPr>
              <a:spLocks noTextEdit="1"/>
            </xdr:cNvSpPr>
          </xdr:nvSpPr>
          <xdr:spPr>
            <a:xfrm>
              <a:off x="3943350" y="116205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285750</xdr:colOff>
      <xdr:row>46</xdr:row>
      <xdr:rowOff>190500</xdr:rowOff>
    </xdr:from>
    <xdr:to>
      <xdr:col>7</xdr:col>
      <xdr:colOff>247652</xdr:colOff>
      <xdr:row>60</xdr:row>
      <xdr:rowOff>57150</xdr:rowOff>
    </xdr:to>
    <mc:AlternateContent xmlns:mc="http://schemas.openxmlformats.org/markup-compatibility/2006" xmlns:a14="http://schemas.microsoft.com/office/drawing/2010/main">
      <mc:Choice Requires="a14">
        <xdr:graphicFrame macro="">
          <xdr:nvGraphicFramePr>
            <xdr:cNvPr id="13" name="primary_freight_type">
              <a:extLst>
                <a:ext uri="{FF2B5EF4-FFF2-40B4-BE49-F238E27FC236}">
                  <a16:creationId xmlns:a16="http://schemas.microsoft.com/office/drawing/2014/main" id="{06878887-348B-7BDC-858D-DBFD0181FBDE}"/>
                </a:ext>
              </a:extLst>
            </xdr:cNvPr>
            <xdr:cNvGraphicFramePr/>
          </xdr:nvGraphicFramePr>
          <xdr:xfrm>
            <a:off x="0" y="0"/>
            <a:ext cx="0" cy="0"/>
          </xdr:xfrm>
          <a:graphic>
            <a:graphicData uri="http://schemas.microsoft.com/office/drawing/2010/slicer">
              <sle:slicer xmlns:sle="http://schemas.microsoft.com/office/drawing/2010/slicer" name="primary_freight_type"/>
            </a:graphicData>
          </a:graphic>
        </xdr:graphicFrame>
      </mc:Choice>
      <mc:Fallback xmlns="">
        <xdr:sp macro="" textlink="">
          <xdr:nvSpPr>
            <xdr:cNvPr id="0" name=""/>
            <xdr:cNvSpPr>
              <a:spLocks noTextEdit="1"/>
            </xdr:cNvSpPr>
          </xdr:nvSpPr>
          <xdr:spPr>
            <a:xfrm>
              <a:off x="7905750" y="93916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1743075</xdr:colOff>
      <xdr:row>64</xdr:row>
      <xdr:rowOff>85725</xdr:rowOff>
    </xdr:from>
    <xdr:to>
      <xdr:col>6</xdr:col>
      <xdr:colOff>1704973</xdr:colOff>
      <xdr:row>77</xdr:row>
      <xdr:rowOff>152400</xdr:rowOff>
    </xdr:to>
    <mc:AlternateContent xmlns:mc="http://schemas.openxmlformats.org/markup-compatibility/2006" xmlns:a14="http://schemas.microsoft.com/office/drawing/2010/main">
      <mc:Choice Requires="a14">
        <xdr:graphicFrame macro="">
          <xdr:nvGraphicFramePr>
            <xdr:cNvPr id="14" name="account_status">
              <a:extLst>
                <a:ext uri="{FF2B5EF4-FFF2-40B4-BE49-F238E27FC236}">
                  <a16:creationId xmlns:a16="http://schemas.microsoft.com/office/drawing/2014/main" id="{62B54726-0A57-AD95-9D6B-FB856B395463}"/>
                </a:ext>
              </a:extLst>
            </xdr:cNvPr>
            <xdr:cNvGraphicFramePr/>
          </xdr:nvGraphicFramePr>
          <xdr:xfrm>
            <a:off x="0" y="0"/>
            <a:ext cx="0" cy="0"/>
          </xdr:xfrm>
          <a:graphic>
            <a:graphicData uri="http://schemas.microsoft.com/office/drawing/2010/slicer">
              <sle:slicer xmlns:sle="http://schemas.microsoft.com/office/drawing/2010/slicer" name="account_status"/>
            </a:graphicData>
          </a:graphic>
        </xdr:graphicFrame>
      </mc:Choice>
      <mc:Fallback xmlns="">
        <xdr:sp macro="" textlink="">
          <xdr:nvSpPr>
            <xdr:cNvPr id="0" name=""/>
            <xdr:cNvSpPr>
              <a:spLocks noTextEdit="1"/>
            </xdr:cNvSpPr>
          </xdr:nvSpPr>
          <xdr:spPr>
            <a:xfrm>
              <a:off x="7496175" y="128873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319087</xdr:colOff>
      <xdr:row>6</xdr:row>
      <xdr:rowOff>66674</xdr:rowOff>
    </xdr:from>
    <xdr:to>
      <xdr:col>8</xdr:col>
      <xdr:colOff>1038225</xdr:colOff>
      <xdr:row>13</xdr:row>
      <xdr:rowOff>142874</xdr:rowOff>
    </xdr:to>
    <xdr:graphicFrame macro="">
      <xdr:nvGraphicFramePr>
        <xdr:cNvPr id="16" name="Chart 15">
          <a:extLst>
            <a:ext uri="{FF2B5EF4-FFF2-40B4-BE49-F238E27FC236}">
              <a16:creationId xmlns:a16="http://schemas.microsoft.com/office/drawing/2014/main" id="{1950E9B4-C3D2-171B-3147-2F7F2D978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1495425</xdr:colOff>
      <xdr:row>10</xdr:row>
      <xdr:rowOff>123825</xdr:rowOff>
    </xdr:from>
    <xdr:to>
      <xdr:col>10</xdr:col>
      <xdr:colOff>809625</xdr:colOff>
      <xdr:row>20</xdr:row>
      <xdr:rowOff>161925</xdr:rowOff>
    </xdr:to>
    <xdr:graphicFrame macro="">
      <xdr:nvGraphicFramePr>
        <xdr:cNvPr id="17" name="Chart 16">
          <a:extLst>
            <a:ext uri="{FF2B5EF4-FFF2-40B4-BE49-F238E27FC236}">
              <a16:creationId xmlns:a16="http://schemas.microsoft.com/office/drawing/2014/main" id="{AD3FCD3E-42ED-C1D4-647C-E84DBCC5E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633412</xdr:colOff>
      <xdr:row>17</xdr:row>
      <xdr:rowOff>142875</xdr:rowOff>
    </xdr:from>
    <xdr:to>
      <xdr:col>8</xdr:col>
      <xdr:colOff>190500</xdr:colOff>
      <xdr:row>26</xdr:row>
      <xdr:rowOff>152400</xdr:rowOff>
    </xdr:to>
    <xdr:graphicFrame macro="">
      <xdr:nvGraphicFramePr>
        <xdr:cNvPr id="18" name="Chart 17">
          <a:extLst>
            <a:ext uri="{FF2B5EF4-FFF2-40B4-BE49-F238E27FC236}">
              <a16:creationId xmlns:a16="http://schemas.microsoft.com/office/drawing/2014/main" id="{5425AA01-1ECB-3DBD-A80B-4728CACD2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93980</xdr:colOff>
      <xdr:row>86</xdr:row>
      <xdr:rowOff>38100</xdr:rowOff>
    </xdr:from>
    <xdr:to>
      <xdr:col>7</xdr:col>
      <xdr:colOff>53342</xdr:colOff>
      <xdr:row>99</xdr:row>
      <xdr:rowOff>15872</xdr:rowOff>
    </xdr:to>
    <mc:AlternateContent xmlns:mc="http://schemas.openxmlformats.org/markup-compatibility/2006" xmlns:a14="http://schemas.microsoft.com/office/drawing/2010/main">
      <mc:Choice Requires="a14">
        <xdr:graphicFrame macro="">
          <xdr:nvGraphicFramePr>
            <xdr:cNvPr id="2" name="credit_terms_days">
              <a:extLst>
                <a:ext uri="{FF2B5EF4-FFF2-40B4-BE49-F238E27FC236}">
                  <a16:creationId xmlns:a16="http://schemas.microsoft.com/office/drawing/2014/main" id="{5E2AC4DD-A622-0DF9-6137-0C6B97479735}"/>
                </a:ext>
              </a:extLst>
            </xdr:cNvPr>
            <xdr:cNvGraphicFramePr/>
          </xdr:nvGraphicFramePr>
          <xdr:xfrm>
            <a:off x="0" y="0"/>
            <a:ext cx="0" cy="0"/>
          </xdr:xfrm>
          <a:graphic>
            <a:graphicData uri="http://schemas.microsoft.com/office/drawing/2010/slicer">
              <sle:slicer xmlns:sle="http://schemas.microsoft.com/office/drawing/2010/slicer" name="credit_terms_days"/>
            </a:graphicData>
          </a:graphic>
        </xdr:graphicFrame>
      </mc:Choice>
      <mc:Fallback xmlns="">
        <xdr:sp macro="" textlink="">
          <xdr:nvSpPr>
            <xdr:cNvPr id="0" name=""/>
            <xdr:cNvSpPr>
              <a:spLocks noTextEdit="1"/>
            </xdr:cNvSpPr>
          </xdr:nvSpPr>
          <xdr:spPr>
            <a:xfrm>
              <a:off x="8435340" y="175133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158115</xdr:colOff>
      <xdr:row>111</xdr:row>
      <xdr:rowOff>60960</xdr:rowOff>
    </xdr:from>
    <xdr:to>
      <xdr:col>8</xdr:col>
      <xdr:colOff>120015</xdr:colOff>
      <xdr:row>118</xdr:row>
      <xdr:rowOff>7620</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4EFB6FA3-EEA8-111D-A9E3-791D35B06C3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555355" y="22052280"/>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97155</xdr:colOff>
      <xdr:row>122</xdr:row>
      <xdr:rowOff>177165</xdr:rowOff>
    </xdr:from>
    <xdr:to>
      <xdr:col>8</xdr:col>
      <xdr:colOff>59055</xdr:colOff>
      <xdr:row>136</xdr:row>
      <xdr:rowOff>70485</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15973263-B506-E19F-F996-01218772159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494395" y="2434780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57150</xdr:rowOff>
    </xdr:from>
    <xdr:to>
      <xdr:col>21</xdr:col>
      <xdr:colOff>235350</xdr:colOff>
      <xdr:row>4</xdr:row>
      <xdr:rowOff>104775</xdr:rowOff>
    </xdr:to>
    <xdr:sp macro="" textlink="">
      <xdr:nvSpPr>
        <xdr:cNvPr id="2" name="TextBox 1">
          <a:extLst>
            <a:ext uri="{FF2B5EF4-FFF2-40B4-BE49-F238E27FC236}">
              <a16:creationId xmlns:a16="http://schemas.microsoft.com/office/drawing/2014/main" id="{47F40DC0-FE8B-4CBD-132D-A8E5A77EB564}"/>
            </a:ext>
          </a:extLst>
        </xdr:cNvPr>
        <xdr:cNvSpPr txBox="1"/>
      </xdr:nvSpPr>
      <xdr:spPr>
        <a:xfrm>
          <a:off x="57150" y="57150"/>
          <a:ext cx="14580000" cy="847725"/>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600" b="1" i="0" u="none" strike="noStrike">
              <a:solidFill>
                <a:srgbClr val="000000"/>
              </a:solidFill>
              <a:latin typeface="Calibri"/>
              <a:ea typeface="Calibri"/>
              <a:cs typeface="Calibri"/>
            </a:rPr>
            <a:t>CUSTOMERS PORTFOLIO DASHBOARD  </a:t>
          </a:r>
        </a:p>
      </xdr:txBody>
    </xdr:sp>
    <xdr:clientData/>
  </xdr:twoCellAnchor>
  <xdr:twoCellAnchor>
    <xdr:from>
      <xdr:col>15</xdr:col>
      <xdr:colOff>66674</xdr:colOff>
      <xdr:row>1</xdr:row>
      <xdr:rowOff>50801</xdr:rowOff>
    </xdr:from>
    <xdr:to>
      <xdr:col>19</xdr:col>
      <xdr:colOff>211667</xdr:colOff>
      <xdr:row>3</xdr:row>
      <xdr:rowOff>117476</xdr:rowOff>
    </xdr:to>
    <xdr:sp macro="" textlink="Sheet1!C4">
      <xdr:nvSpPr>
        <xdr:cNvPr id="3" name="TextBox 2">
          <a:extLst>
            <a:ext uri="{FF2B5EF4-FFF2-40B4-BE49-F238E27FC236}">
              <a16:creationId xmlns:a16="http://schemas.microsoft.com/office/drawing/2014/main" id="{20969D52-F2DC-25A3-34A5-35E2C6D69973}"/>
            </a:ext>
          </a:extLst>
        </xdr:cNvPr>
        <xdr:cNvSpPr txBox="1"/>
      </xdr:nvSpPr>
      <xdr:spPr>
        <a:xfrm>
          <a:off x="10353674" y="250826"/>
          <a:ext cx="2888193" cy="466725"/>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u="none" strike="noStrike">
              <a:solidFill>
                <a:srgbClr val="000000"/>
              </a:solidFill>
              <a:latin typeface="Calibri"/>
              <a:ea typeface="Calibri"/>
              <a:cs typeface="Calibri"/>
            </a:rPr>
            <a:t>TOTAL</a:t>
          </a:r>
          <a:r>
            <a:rPr lang="en-US" sz="2400" b="0" i="0" u="none" strike="noStrike" baseline="0">
              <a:solidFill>
                <a:srgbClr val="000000"/>
              </a:solidFill>
              <a:latin typeface="Calibri"/>
              <a:ea typeface="Calibri"/>
              <a:cs typeface="Calibri"/>
            </a:rPr>
            <a:t> CUSTOMERS:</a:t>
          </a:r>
          <a:endParaRPr lang="en-IN" sz="4000"/>
        </a:p>
      </xdr:txBody>
    </xdr:sp>
    <xdr:clientData/>
  </xdr:twoCellAnchor>
  <xdr:twoCellAnchor>
    <xdr:from>
      <xdr:col>5</xdr:col>
      <xdr:colOff>632887</xdr:colOff>
      <xdr:row>5</xdr:row>
      <xdr:rowOff>4232</xdr:rowOff>
    </xdr:from>
    <xdr:to>
      <xdr:col>10</xdr:col>
      <xdr:colOff>609601</xdr:colOff>
      <xdr:row>18</xdr:row>
      <xdr:rowOff>152400</xdr:rowOff>
    </xdr:to>
    <xdr:sp macro="" textlink="">
      <xdr:nvSpPr>
        <xdr:cNvPr id="4" name="TextBox 3">
          <a:extLst>
            <a:ext uri="{FF2B5EF4-FFF2-40B4-BE49-F238E27FC236}">
              <a16:creationId xmlns:a16="http://schemas.microsoft.com/office/drawing/2014/main" id="{67BBC258-F043-C276-763D-8875708904ED}"/>
            </a:ext>
          </a:extLst>
        </xdr:cNvPr>
        <xdr:cNvSpPr txBox="1"/>
      </xdr:nvSpPr>
      <xdr:spPr>
        <a:xfrm>
          <a:off x="4061887" y="1020232"/>
          <a:ext cx="3405714" cy="27897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CUSTOMER TYPE</a:t>
          </a:r>
        </a:p>
      </xdr:txBody>
    </xdr:sp>
    <xdr:clientData/>
  </xdr:twoCellAnchor>
  <xdr:twoCellAnchor>
    <xdr:from>
      <xdr:col>3</xdr:col>
      <xdr:colOff>228599</xdr:colOff>
      <xdr:row>19</xdr:row>
      <xdr:rowOff>50801</xdr:rowOff>
    </xdr:from>
    <xdr:to>
      <xdr:col>10</xdr:col>
      <xdr:colOff>657224</xdr:colOff>
      <xdr:row>31</xdr:row>
      <xdr:rowOff>1</xdr:rowOff>
    </xdr:to>
    <xdr:sp macro="" textlink="">
      <xdr:nvSpPr>
        <xdr:cNvPr id="8" name="TextBox 7">
          <a:extLst>
            <a:ext uri="{FF2B5EF4-FFF2-40B4-BE49-F238E27FC236}">
              <a16:creationId xmlns:a16="http://schemas.microsoft.com/office/drawing/2014/main" id="{8B5DEEC4-2B12-670D-91A3-BFBF918308B2}"/>
            </a:ext>
          </a:extLst>
        </xdr:cNvPr>
        <xdr:cNvSpPr txBox="1"/>
      </xdr:nvSpPr>
      <xdr:spPr>
        <a:xfrm>
          <a:off x="2285999" y="3851276"/>
          <a:ext cx="5229225" cy="234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CUSTOMERS</a:t>
          </a:r>
          <a:r>
            <a:rPr lang="en-IN" sz="1800" b="1" baseline="0"/>
            <a:t> STATUS</a:t>
          </a:r>
        </a:p>
      </xdr:txBody>
    </xdr:sp>
    <xdr:clientData/>
  </xdr:twoCellAnchor>
  <xdr:twoCellAnchor>
    <xdr:from>
      <xdr:col>3</xdr:col>
      <xdr:colOff>233890</xdr:colOff>
      <xdr:row>19</xdr:row>
      <xdr:rowOff>143932</xdr:rowOff>
    </xdr:from>
    <xdr:to>
      <xdr:col>7</xdr:col>
      <xdr:colOff>119591</xdr:colOff>
      <xdr:row>31</xdr:row>
      <xdr:rowOff>186265</xdr:rowOff>
    </xdr:to>
    <xdr:graphicFrame macro="">
      <xdr:nvGraphicFramePr>
        <xdr:cNvPr id="10" name="Chart 9">
          <a:extLst>
            <a:ext uri="{FF2B5EF4-FFF2-40B4-BE49-F238E27FC236}">
              <a16:creationId xmlns:a16="http://schemas.microsoft.com/office/drawing/2014/main" id="{963D6A80-264C-46D7-B1BB-3F961F687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40217</xdr:colOff>
      <xdr:row>4</xdr:row>
      <xdr:rowOff>194735</xdr:rowOff>
    </xdr:from>
    <xdr:to>
      <xdr:col>15</xdr:col>
      <xdr:colOff>397933</xdr:colOff>
      <xdr:row>18</xdr:row>
      <xdr:rowOff>152400</xdr:rowOff>
    </xdr:to>
    <xdr:sp macro="" textlink="">
      <xdr:nvSpPr>
        <xdr:cNvPr id="11" name="TextBox 10">
          <a:extLst>
            <a:ext uri="{FF2B5EF4-FFF2-40B4-BE49-F238E27FC236}">
              <a16:creationId xmlns:a16="http://schemas.microsoft.com/office/drawing/2014/main" id="{3B82CAF6-7781-EF44-1F91-2391C15FFB1F}"/>
            </a:ext>
          </a:extLst>
        </xdr:cNvPr>
        <xdr:cNvSpPr txBox="1"/>
      </xdr:nvSpPr>
      <xdr:spPr>
        <a:xfrm>
          <a:off x="7584017" y="1007535"/>
          <a:ext cx="3100916" cy="2802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FRIGHT  TYPES</a:t>
          </a:r>
        </a:p>
      </xdr:txBody>
    </xdr:sp>
    <xdr:clientData/>
  </xdr:twoCellAnchor>
  <xdr:twoCellAnchor>
    <xdr:from>
      <xdr:col>15</xdr:col>
      <xdr:colOff>487891</xdr:colOff>
      <xdr:row>4</xdr:row>
      <xdr:rowOff>180975</xdr:rowOff>
    </xdr:from>
    <xdr:to>
      <xdr:col>21</xdr:col>
      <xdr:colOff>220133</xdr:colOff>
      <xdr:row>18</xdr:row>
      <xdr:rowOff>160867</xdr:rowOff>
    </xdr:to>
    <xdr:sp macro="" textlink="">
      <xdr:nvSpPr>
        <xdr:cNvPr id="14" name="TextBox 13">
          <a:extLst>
            <a:ext uri="{FF2B5EF4-FFF2-40B4-BE49-F238E27FC236}">
              <a16:creationId xmlns:a16="http://schemas.microsoft.com/office/drawing/2014/main" id="{4F1E31D9-602C-B157-7A5F-1AB9B3D69E2E}"/>
            </a:ext>
          </a:extLst>
        </xdr:cNvPr>
        <xdr:cNvSpPr txBox="1"/>
      </xdr:nvSpPr>
      <xdr:spPr>
        <a:xfrm>
          <a:off x="10774891" y="981075"/>
          <a:ext cx="3847042" cy="27802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15</xdr:col>
      <xdr:colOff>497416</xdr:colOff>
      <xdr:row>5</xdr:row>
      <xdr:rowOff>0</xdr:rowOff>
    </xdr:from>
    <xdr:to>
      <xdr:col>21</xdr:col>
      <xdr:colOff>128058</xdr:colOff>
      <xdr:row>11</xdr:row>
      <xdr:rowOff>171450</xdr:rowOff>
    </xdr:to>
    <mc:AlternateContent xmlns:mc="http://schemas.openxmlformats.org/markup-compatibility/2006" xmlns:tsle="http://schemas.microsoft.com/office/drawing/2012/timeslicer">
      <mc:Choice Requires="tsle">
        <xdr:graphicFrame macro="">
          <xdr:nvGraphicFramePr>
            <xdr:cNvPr id="16" name="contract_start_date 1">
              <a:extLst>
                <a:ext uri="{FF2B5EF4-FFF2-40B4-BE49-F238E27FC236}">
                  <a16:creationId xmlns:a16="http://schemas.microsoft.com/office/drawing/2014/main" id="{210E2EB2-F52C-4473-9A2D-F890DEA0A96A}"/>
                </a:ext>
              </a:extLst>
            </xdr:cNvPr>
            <xdr:cNvGraphicFramePr/>
          </xdr:nvGraphicFramePr>
          <xdr:xfrm>
            <a:off x="0" y="0"/>
            <a:ext cx="0" cy="0"/>
          </xdr:xfrm>
          <a:graphic>
            <a:graphicData uri="http://schemas.microsoft.com/office/drawing/2012/timeslicer">
              <tsle:timeslicer name="contract_start_date 1"/>
            </a:graphicData>
          </a:graphic>
        </xdr:graphicFrame>
      </mc:Choice>
      <mc:Fallback xmlns="">
        <xdr:sp macro="" textlink="">
          <xdr:nvSpPr>
            <xdr:cNvPr id="0" name=""/>
            <xdr:cNvSpPr>
              <a:spLocks noTextEdit="1"/>
            </xdr:cNvSpPr>
          </xdr:nvSpPr>
          <xdr:spPr>
            <a:xfrm>
              <a:off x="10784416" y="1000125"/>
              <a:ext cx="3745442" cy="107103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668869</xdr:colOff>
      <xdr:row>6</xdr:row>
      <xdr:rowOff>186269</xdr:rowOff>
    </xdr:from>
    <xdr:to>
      <xdr:col>8</xdr:col>
      <xdr:colOff>127000</xdr:colOff>
      <xdr:row>12</xdr:row>
      <xdr:rowOff>137586</xdr:rowOff>
    </xdr:to>
    <xdr:graphicFrame macro="">
      <xdr:nvGraphicFramePr>
        <xdr:cNvPr id="19" name="Chart 18">
          <a:extLst>
            <a:ext uri="{FF2B5EF4-FFF2-40B4-BE49-F238E27FC236}">
              <a16:creationId xmlns:a16="http://schemas.microsoft.com/office/drawing/2014/main" id="{0A7B82A1-780F-414D-8ACA-ECE3B0507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347134</xdr:colOff>
      <xdr:row>6</xdr:row>
      <xdr:rowOff>186271</xdr:rowOff>
    </xdr:from>
    <xdr:to>
      <xdr:col>10</xdr:col>
      <xdr:colOff>645491</xdr:colOff>
      <xdr:row>12</xdr:row>
      <xdr:rowOff>100545</xdr:rowOff>
    </xdr:to>
    <xdr:graphicFrame macro="">
      <xdr:nvGraphicFramePr>
        <xdr:cNvPr id="20" name="Chart 19">
          <a:extLst>
            <a:ext uri="{FF2B5EF4-FFF2-40B4-BE49-F238E27FC236}">
              <a16:creationId xmlns:a16="http://schemas.microsoft.com/office/drawing/2014/main" id="{5B7D2AE5-93A7-4E91-AB0D-5D1CE73B9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8467</xdr:colOff>
      <xdr:row>12</xdr:row>
      <xdr:rowOff>50803</xdr:rowOff>
    </xdr:from>
    <xdr:to>
      <xdr:col>9</xdr:col>
      <xdr:colOff>463212</xdr:colOff>
      <xdr:row>18</xdr:row>
      <xdr:rowOff>33870</xdr:rowOff>
    </xdr:to>
    <xdr:graphicFrame macro="">
      <xdr:nvGraphicFramePr>
        <xdr:cNvPr id="21" name="Chart 20">
          <a:extLst>
            <a:ext uri="{FF2B5EF4-FFF2-40B4-BE49-F238E27FC236}">
              <a16:creationId xmlns:a16="http://schemas.microsoft.com/office/drawing/2014/main" id="{7B0BAAB9-D940-4044-BB66-D6390931D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618067</xdr:colOff>
      <xdr:row>1</xdr:row>
      <xdr:rowOff>0</xdr:rowOff>
    </xdr:from>
    <xdr:to>
      <xdr:col>19</xdr:col>
      <xdr:colOff>660400</xdr:colOff>
      <xdr:row>3</xdr:row>
      <xdr:rowOff>76200</xdr:rowOff>
    </xdr:to>
    <xdr:sp macro="" textlink="Sheet1!C4">
      <xdr:nvSpPr>
        <xdr:cNvPr id="5" name="TextBox 4">
          <a:extLst>
            <a:ext uri="{FF2B5EF4-FFF2-40B4-BE49-F238E27FC236}">
              <a16:creationId xmlns:a16="http://schemas.microsoft.com/office/drawing/2014/main" id="{C6B46364-D93B-793E-1E37-1A593BEC3E64}"/>
            </a:ext>
          </a:extLst>
        </xdr:cNvPr>
        <xdr:cNvSpPr txBox="1"/>
      </xdr:nvSpPr>
      <xdr:spPr>
        <a:xfrm>
          <a:off x="12962467" y="200025"/>
          <a:ext cx="728133" cy="476250"/>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A441F3-FC89-5E43-A3A2-A648A1C0B6EB}" type="TxLink">
            <a:rPr lang="en-US" sz="2800" b="0" i="0" u="none" strike="noStrike">
              <a:solidFill>
                <a:srgbClr val="000000"/>
              </a:solidFill>
              <a:latin typeface="Calibri"/>
              <a:cs typeface="Calibri"/>
            </a:rPr>
            <a:pPr/>
            <a:t>200</a:t>
          </a:fld>
          <a:endParaRPr lang="en-GB" sz="4800"/>
        </a:p>
      </xdr:txBody>
    </xdr:sp>
    <xdr:clientData/>
  </xdr:twoCellAnchor>
  <xdr:twoCellAnchor editAs="oneCell">
    <xdr:from>
      <xdr:col>11</xdr:col>
      <xdr:colOff>135467</xdr:colOff>
      <xdr:row>7</xdr:row>
      <xdr:rowOff>16933</xdr:rowOff>
    </xdr:from>
    <xdr:to>
      <xdr:col>15</xdr:col>
      <xdr:colOff>270933</xdr:colOff>
      <xdr:row>18</xdr:row>
      <xdr:rowOff>84667</xdr:rowOff>
    </xdr:to>
    <mc:AlternateContent xmlns:mc="http://schemas.openxmlformats.org/markup-compatibility/2006" xmlns:a14="http://schemas.microsoft.com/office/drawing/2010/main">
      <mc:Choice Requires="a14">
        <xdr:graphicFrame macro="">
          <xdr:nvGraphicFramePr>
            <xdr:cNvPr id="6" name="primary_freight_type 3">
              <a:extLst>
                <a:ext uri="{FF2B5EF4-FFF2-40B4-BE49-F238E27FC236}">
                  <a16:creationId xmlns:a16="http://schemas.microsoft.com/office/drawing/2014/main" id="{7DBF9EC1-DBAE-5A4E-A946-F6DF4489FEF9}"/>
                </a:ext>
              </a:extLst>
            </xdr:cNvPr>
            <xdr:cNvGraphicFramePr/>
          </xdr:nvGraphicFramePr>
          <xdr:xfrm>
            <a:off x="0" y="0"/>
            <a:ext cx="0" cy="0"/>
          </xdr:xfrm>
          <a:graphic>
            <a:graphicData uri="http://schemas.microsoft.com/office/drawing/2010/slicer">
              <sle:slicer xmlns:sle="http://schemas.microsoft.com/office/drawing/2010/slicer" name="primary_freight_type 3"/>
            </a:graphicData>
          </a:graphic>
        </xdr:graphicFrame>
      </mc:Choice>
      <mc:Fallback xmlns="">
        <xdr:sp macro="" textlink="">
          <xdr:nvSpPr>
            <xdr:cNvPr id="0" name=""/>
            <xdr:cNvSpPr>
              <a:spLocks noTextEdit="1"/>
            </xdr:cNvSpPr>
          </xdr:nvSpPr>
          <xdr:spPr>
            <a:xfrm>
              <a:off x="7679267" y="1439333"/>
              <a:ext cx="2878666" cy="23029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67732</xdr:colOff>
      <xdr:row>5</xdr:row>
      <xdr:rowOff>0</xdr:rowOff>
    </xdr:from>
    <xdr:to>
      <xdr:col>5</xdr:col>
      <xdr:colOff>533399</xdr:colOff>
      <xdr:row>11</xdr:row>
      <xdr:rowOff>169333</xdr:rowOff>
    </xdr:to>
    <xdr:sp macro="" textlink="">
      <xdr:nvSpPr>
        <xdr:cNvPr id="7" name="TextBox 6">
          <a:extLst>
            <a:ext uri="{FF2B5EF4-FFF2-40B4-BE49-F238E27FC236}">
              <a16:creationId xmlns:a16="http://schemas.microsoft.com/office/drawing/2014/main" id="{8226288F-A8C9-B816-A9A1-19AC6133809E}"/>
            </a:ext>
          </a:extLst>
        </xdr:cNvPr>
        <xdr:cNvSpPr txBox="1"/>
      </xdr:nvSpPr>
      <xdr:spPr>
        <a:xfrm>
          <a:off x="67732" y="1016000"/>
          <a:ext cx="3894667" cy="13885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editAs="oneCell">
    <xdr:from>
      <xdr:col>7</xdr:col>
      <xdr:colOff>542924</xdr:colOff>
      <xdr:row>22</xdr:row>
      <xdr:rowOff>142877</xdr:rowOff>
    </xdr:from>
    <xdr:to>
      <xdr:col>10</xdr:col>
      <xdr:colOff>448733</xdr:colOff>
      <xdr:row>27</xdr:row>
      <xdr:rowOff>168276</xdr:rowOff>
    </xdr:to>
    <mc:AlternateContent xmlns:mc="http://schemas.openxmlformats.org/markup-compatibility/2006" xmlns:a14="http://schemas.microsoft.com/office/drawing/2010/main">
      <mc:Choice Requires="a14">
        <xdr:graphicFrame macro="">
          <xdr:nvGraphicFramePr>
            <xdr:cNvPr id="9" name="account_status 1">
              <a:extLst>
                <a:ext uri="{FF2B5EF4-FFF2-40B4-BE49-F238E27FC236}">
                  <a16:creationId xmlns:a16="http://schemas.microsoft.com/office/drawing/2014/main" id="{11C0B82B-C0F1-1144-90F6-28378068BFB9}"/>
                </a:ext>
              </a:extLst>
            </xdr:cNvPr>
            <xdr:cNvGraphicFramePr/>
          </xdr:nvGraphicFramePr>
          <xdr:xfrm>
            <a:off x="0" y="0"/>
            <a:ext cx="0" cy="0"/>
          </xdr:xfrm>
          <a:graphic>
            <a:graphicData uri="http://schemas.microsoft.com/office/drawing/2010/slicer">
              <sle:slicer xmlns:sle="http://schemas.microsoft.com/office/drawing/2010/slicer" name="account_status 1"/>
            </a:graphicData>
          </a:graphic>
        </xdr:graphicFrame>
      </mc:Choice>
      <mc:Fallback xmlns="">
        <xdr:sp macro="" textlink="">
          <xdr:nvSpPr>
            <xdr:cNvPr id="0" name=""/>
            <xdr:cNvSpPr>
              <a:spLocks noTextEdit="1"/>
            </xdr:cNvSpPr>
          </xdr:nvSpPr>
          <xdr:spPr>
            <a:xfrm>
              <a:off x="5343524" y="4543427"/>
              <a:ext cx="1963209" cy="1025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76199</xdr:colOff>
      <xdr:row>5</xdr:row>
      <xdr:rowOff>84666</xdr:rowOff>
    </xdr:from>
    <xdr:to>
      <xdr:col>5</xdr:col>
      <xdr:colOff>397932</xdr:colOff>
      <xdr:row>9</xdr:row>
      <xdr:rowOff>161925</xdr:rowOff>
    </xdr:to>
    <xdr:sp macro="" textlink="">
      <xdr:nvSpPr>
        <xdr:cNvPr id="13" name="TextBox 12">
          <a:extLst>
            <a:ext uri="{FF2B5EF4-FFF2-40B4-BE49-F238E27FC236}">
              <a16:creationId xmlns:a16="http://schemas.microsoft.com/office/drawing/2014/main" id="{16824DE9-FA1A-DC52-9E7B-F48B5C31E87D}"/>
            </a:ext>
          </a:extLst>
        </xdr:cNvPr>
        <xdr:cNvSpPr txBox="1"/>
      </xdr:nvSpPr>
      <xdr:spPr>
        <a:xfrm>
          <a:off x="76199" y="1084791"/>
          <a:ext cx="3750733" cy="8773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t>AVERAGE</a:t>
          </a:r>
          <a:r>
            <a:rPr lang="en-GB" sz="2400" b="1" baseline="0"/>
            <a:t> REVENUE POTENTIAL</a:t>
          </a:r>
          <a:endParaRPr lang="en-GB" sz="2400" b="1"/>
        </a:p>
      </xdr:txBody>
    </xdr:sp>
    <xdr:clientData/>
  </xdr:twoCellAnchor>
  <xdr:twoCellAnchor>
    <xdr:from>
      <xdr:col>0</xdr:col>
      <xdr:colOff>141817</xdr:colOff>
      <xdr:row>9</xdr:row>
      <xdr:rowOff>159809</xdr:rowOff>
    </xdr:from>
    <xdr:to>
      <xdr:col>1</xdr:col>
      <xdr:colOff>599017</xdr:colOff>
      <xdr:row>11</xdr:row>
      <xdr:rowOff>61384</xdr:rowOff>
    </xdr:to>
    <xdr:sp macro="" textlink="Sheet1!B86">
      <xdr:nvSpPr>
        <xdr:cNvPr id="15" name="TextBox 14">
          <a:extLst>
            <a:ext uri="{FF2B5EF4-FFF2-40B4-BE49-F238E27FC236}">
              <a16:creationId xmlns:a16="http://schemas.microsoft.com/office/drawing/2014/main" id="{71404DDF-C232-0528-BD86-53D6659739FE}"/>
            </a:ext>
          </a:extLst>
        </xdr:cNvPr>
        <xdr:cNvSpPr txBox="1"/>
      </xdr:nvSpPr>
      <xdr:spPr>
        <a:xfrm>
          <a:off x="141817" y="1960034"/>
          <a:ext cx="1143000" cy="301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34DC1B-2A8D-0B4C-8270-AB1A93548A0A}" type="TxLink">
            <a:rPr lang="en-US" sz="1400" b="0" i="0" u="none" strike="noStrike">
              <a:solidFill>
                <a:srgbClr val="000000"/>
              </a:solidFill>
              <a:latin typeface="Calibri"/>
              <a:cs typeface="Calibri"/>
            </a:rPr>
            <a:pPr/>
            <a:t>2.7M</a:t>
          </a:fld>
          <a:endParaRPr lang="en-GB" sz="1200"/>
        </a:p>
      </xdr:txBody>
    </xdr:sp>
    <xdr:clientData/>
  </xdr:twoCellAnchor>
  <xdr:twoCellAnchor>
    <xdr:from>
      <xdr:col>11</xdr:col>
      <xdr:colOff>66675</xdr:colOff>
      <xdr:row>19</xdr:row>
      <xdr:rowOff>42333</xdr:rowOff>
    </xdr:from>
    <xdr:to>
      <xdr:col>21</xdr:col>
      <xdr:colOff>211349</xdr:colOff>
      <xdr:row>31</xdr:row>
      <xdr:rowOff>0</xdr:rowOff>
    </xdr:to>
    <xdr:graphicFrame macro="">
      <xdr:nvGraphicFramePr>
        <xdr:cNvPr id="24" name="Chart 23">
          <a:extLst>
            <a:ext uri="{FF2B5EF4-FFF2-40B4-BE49-F238E27FC236}">
              <a16:creationId xmlns:a16="http://schemas.microsoft.com/office/drawing/2014/main" id="{62456068-CECF-2C48-890E-E21D51D67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19</xdr:row>
      <xdr:rowOff>50801</xdr:rowOff>
    </xdr:from>
    <xdr:to>
      <xdr:col>3</xdr:col>
      <xdr:colOff>135467</xdr:colOff>
      <xdr:row>30</xdr:row>
      <xdr:rowOff>180975</xdr:rowOff>
    </xdr:to>
    <xdr:sp macro="" textlink="">
      <xdr:nvSpPr>
        <xdr:cNvPr id="27" name="TextBox 26">
          <a:extLst>
            <a:ext uri="{FF2B5EF4-FFF2-40B4-BE49-F238E27FC236}">
              <a16:creationId xmlns:a16="http://schemas.microsoft.com/office/drawing/2014/main" id="{DF6FA646-D648-4EC2-E797-FBBA327BD739}"/>
            </a:ext>
          </a:extLst>
        </xdr:cNvPr>
        <xdr:cNvSpPr txBox="1"/>
      </xdr:nvSpPr>
      <xdr:spPr>
        <a:xfrm>
          <a:off x="0" y="3851276"/>
          <a:ext cx="2192867" cy="2330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CREDIT TERM DAYS</a:t>
          </a:r>
        </a:p>
      </xdr:txBody>
    </xdr:sp>
    <xdr:clientData/>
  </xdr:twoCellAnchor>
  <xdr:twoCellAnchor editAs="oneCell">
    <xdr:from>
      <xdr:col>0</xdr:col>
      <xdr:colOff>93135</xdr:colOff>
      <xdr:row>21</xdr:row>
      <xdr:rowOff>84665</xdr:rowOff>
    </xdr:from>
    <xdr:to>
      <xdr:col>2</xdr:col>
      <xdr:colOff>499534</xdr:colOff>
      <xdr:row>29</xdr:row>
      <xdr:rowOff>123825</xdr:rowOff>
    </xdr:to>
    <mc:AlternateContent xmlns:mc="http://schemas.openxmlformats.org/markup-compatibility/2006" xmlns:a14="http://schemas.microsoft.com/office/drawing/2010/main">
      <mc:Choice Requires="a14">
        <xdr:graphicFrame macro="">
          <xdr:nvGraphicFramePr>
            <xdr:cNvPr id="26" name="credit_terms_days 1">
              <a:extLst>
                <a:ext uri="{FF2B5EF4-FFF2-40B4-BE49-F238E27FC236}">
                  <a16:creationId xmlns:a16="http://schemas.microsoft.com/office/drawing/2014/main" id="{4DC7292A-3AD9-8043-8F25-C73C6839FD8A}"/>
                </a:ext>
              </a:extLst>
            </xdr:cNvPr>
            <xdr:cNvGraphicFramePr/>
          </xdr:nvGraphicFramePr>
          <xdr:xfrm>
            <a:off x="0" y="0"/>
            <a:ext cx="0" cy="0"/>
          </xdr:xfrm>
          <a:graphic>
            <a:graphicData uri="http://schemas.microsoft.com/office/drawing/2010/slicer">
              <sle:slicer xmlns:sle="http://schemas.microsoft.com/office/drawing/2010/slicer" name="credit_terms_days 1"/>
            </a:graphicData>
          </a:graphic>
        </xdr:graphicFrame>
      </mc:Choice>
      <mc:Fallback xmlns="">
        <xdr:sp macro="" textlink="">
          <xdr:nvSpPr>
            <xdr:cNvPr id="0" name=""/>
            <xdr:cNvSpPr>
              <a:spLocks noTextEdit="1"/>
            </xdr:cNvSpPr>
          </xdr:nvSpPr>
          <xdr:spPr>
            <a:xfrm>
              <a:off x="93135" y="4351865"/>
              <a:ext cx="1777999" cy="27855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67733</xdr:colOff>
      <xdr:row>12</xdr:row>
      <xdr:rowOff>33867</xdr:rowOff>
    </xdr:from>
    <xdr:to>
      <xdr:col>5</xdr:col>
      <xdr:colOff>524933</xdr:colOff>
      <xdr:row>18</xdr:row>
      <xdr:rowOff>152399</xdr:rowOff>
    </xdr:to>
    <xdr:sp macro="" textlink="">
      <xdr:nvSpPr>
        <xdr:cNvPr id="22" name="TextBox 21">
          <a:extLst>
            <a:ext uri="{FF2B5EF4-FFF2-40B4-BE49-F238E27FC236}">
              <a16:creationId xmlns:a16="http://schemas.microsoft.com/office/drawing/2014/main" id="{D3F3299B-AC9F-58DF-1CF3-00E72F82E188}"/>
            </a:ext>
          </a:extLst>
        </xdr:cNvPr>
        <xdr:cNvSpPr txBox="1"/>
      </xdr:nvSpPr>
      <xdr:spPr>
        <a:xfrm>
          <a:off x="67733" y="2472267"/>
          <a:ext cx="3886200" cy="13377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editAs="oneCell">
    <xdr:from>
      <xdr:col>15</xdr:col>
      <xdr:colOff>535516</xdr:colOff>
      <xdr:row>12</xdr:row>
      <xdr:rowOff>28575</xdr:rowOff>
    </xdr:from>
    <xdr:to>
      <xdr:col>18</xdr:col>
      <xdr:colOff>66676</xdr:colOff>
      <xdr:row>18</xdr:row>
      <xdr:rowOff>114300</xdr:rowOff>
    </xdr:to>
    <mc:AlternateContent xmlns:mc="http://schemas.openxmlformats.org/markup-compatibility/2006" xmlns:a14="http://schemas.microsoft.com/office/drawing/2010/main">
      <mc:Choice Requires="a14">
        <xdr:graphicFrame macro="">
          <xdr:nvGraphicFramePr>
            <xdr:cNvPr id="12" name="year 2">
              <a:extLst>
                <a:ext uri="{FF2B5EF4-FFF2-40B4-BE49-F238E27FC236}">
                  <a16:creationId xmlns:a16="http://schemas.microsoft.com/office/drawing/2014/main" id="{80D0BDF6-6FF3-47AA-8C94-155AB857AB3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822516" y="2428875"/>
              <a:ext cx="1588560"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192616</xdr:colOff>
      <xdr:row>12</xdr:row>
      <xdr:rowOff>28574</xdr:rowOff>
    </xdr:from>
    <xdr:to>
      <xdr:col>21</xdr:col>
      <xdr:colOff>152400</xdr:colOff>
      <xdr:row>18</xdr:row>
      <xdr:rowOff>76199</xdr:rowOff>
    </xdr:to>
    <mc:AlternateContent xmlns:mc="http://schemas.openxmlformats.org/markup-compatibility/2006" xmlns:a14="http://schemas.microsoft.com/office/drawing/2010/main">
      <mc:Choice Requires="a14">
        <xdr:graphicFrame macro="">
          <xdr:nvGraphicFramePr>
            <xdr:cNvPr id="25" name="month 1">
              <a:extLst>
                <a:ext uri="{FF2B5EF4-FFF2-40B4-BE49-F238E27FC236}">
                  <a16:creationId xmlns:a16="http://schemas.microsoft.com/office/drawing/2014/main" id="{735F49EB-5498-40A1-B535-283A04BE6D2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537016" y="2428874"/>
              <a:ext cx="2017184"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113241</xdr:colOff>
      <xdr:row>16</xdr:row>
      <xdr:rowOff>99483</xdr:rowOff>
    </xdr:from>
    <xdr:to>
      <xdr:col>1</xdr:col>
      <xdr:colOff>384174</xdr:colOff>
      <xdr:row>17</xdr:row>
      <xdr:rowOff>197908</xdr:rowOff>
    </xdr:to>
    <xdr:sp macro="" textlink="Sheet1!B94">
      <xdr:nvSpPr>
        <xdr:cNvPr id="18" name="TextBox 17">
          <a:extLst>
            <a:ext uri="{FF2B5EF4-FFF2-40B4-BE49-F238E27FC236}">
              <a16:creationId xmlns:a16="http://schemas.microsoft.com/office/drawing/2014/main" id="{BC2A286C-4500-B57B-C750-4C2BECEB6C1C}"/>
            </a:ext>
          </a:extLst>
        </xdr:cNvPr>
        <xdr:cNvSpPr txBox="1"/>
      </xdr:nvSpPr>
      <xdr:spPr>
        <a:xfrm>
          <a:off x="113241" y="3350683"/>
          <a:ext cx="956733" cy="301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8A9976-6F8B-3445-AEAC-F23BADC84FB4}" type="TxLink">
            <a:rPr lang="en-US" sz="1400" b="0" i="0" u="none" strike="noStrike">
              <a:solidFill>
                <a:srgbClr val="000000"/>
              </a:solidFill>
              <a:latin typeface="Calibri"/>
              <a:cs typeface="Calibri"/>
            </a:rPr>
            <a:pPr/>
            <a:t>537.6M</a:t>
          </a:fld>
          <a:endParaRPr lang="en-GB" sz="1200"/>
        </a:p>
      </xdr:txBody>
    </xdr:sp>
    <xdr:clientData/>
  </xdr:twoCellAnchor>
  <xdr:twoCellAnchor>
    <xdr:from>
      <xdr:col>0</xdr:col>
      <xdr:colOff>63500</xdr:colOff>
      <xdr:row>12</xdr:row>
      <xdr:rowOff>31750</xdr:rowOff>
    </xdr:from>
    <xdr:to>
      <xdr:col>4</xdr:col>
      <xdr:colOff>351367</xdr:colOff>
      <xdr:row>16</xdr:row>
      <xdr:rowOff>130175</xdr:rowOff>
    </xdr:to>
    <xdr:sp macro="" textlink="">
      <xdr:nvSpPr>
        <xdr:cNvPr id="17" name="TextBox 16">
          <a:extLst>
            <a:ext uri="{FF2B5EF4-FFF2-40B4-BE49-F238E27FC236}">
              <a16:creationId xmlns:a16="http://schemas.microsoft.com/office/drawing/2014/main" id="{ECBB787E-0F51-8D6F-9A16-E53FE28DBEBE}"/>
            </a:ext>
          </a:extLst>
        </xdr:cNvPr>
        <xdr:cNvSpPr txBox="1"/>
      </xdr:nvSpPr>
      <xdr:spPr>
        <a:xfrm>
          <a:off x="63500" y="2470150"/>
          <a:ext cx="3031067" cy="911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t>TOTAL REVENUE POTENTIAL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6288.414424189818" createdVersion="8" refreshedVersion="8" recordCount="200" xr:uid="{8742EF4E-4EF6-49A7-BF81-DA70C163DD12}">
  <cacheSource type="worksheet">
    <worksheetSource name="Table2"/>
  </cacheSource>
  <cacheFields count="10">
    <cacheField name="customer_id" numFmtId="0">
      <sharedItems count="200">
        <s v="CUST00001"/>
        <s v="CUST00002"/>
        <s v="CUST00003"/>
        <s v="CUST00004"/>
        <s v="CUST00005"/>
        <s v="CUST00006"/>
        <s v="CUST00007"/>
        <s v="CUST00008"/>
        <s v="CUST00009"/>
        <s v="CUST00010"/>
        <s v="CUST00011"/>
        <s v="CUST00012"/>
        <s v="CUST00013"/>
        <s v="CUST00014"/>
        <s v="CUST00015"/>
        <s v="CUST00016"/>
        <s v="CUST00017"/>
        <s v="CUST00018"/>
        <s v="CUST00019"/>
        <s v="CUST00020"/>
        <s v="CUST00021"/>
        <s v="CUST00022"/>
        <s v="CUST00023"/>
        <s v="CUST00024"/>
        <s v="CUST00025"/>
        <s v="CUST00026"/>
        <s v="CUST00027"/>
        <s v="CUST00028"/>
        <s v="CUST00029"/>
        <s v="CUST00030"/>
        <s v="CUST00031"/>
        <s v="CUST00032"/>
        <s v="CUST00033"/>
        <s v="CUST00034"/>
        <s v="CUST00035"/>
        <s v="CUST00036"/>
        <s v="CUST00037"/>
        <s v="CUST00038"/>
        <s v="CUST00039"/>
        <s v="CUST00040"/>
        <s v="CUST00041"/>
        <s v="CUST00042"/>
        <s v="CUST00043"/>
        <s v="CUST00044"/>
        <s v="CUST00045"/>
        <s v="CUST00046"/>
        <s v="CUST00047"/>
        <s v="CUST00048"/>
        <s v="CUST00049"/>
        <s v="CUST00050"/>
        <s v="CUST00051"/>
        <s v="CUST00052"/>
        <s v="CUST00053"/>
        <s v="CUST00054"/>
        <s v="CUST00055"/>
        <s v="CUST00056"/>
        <s v="CUST00057"/>
        <s v="CUST00058"/>
        <s v="CUST00059"/>
        <s v="CUST00060"/>
        <s v="CUST00061"/>
        <s v="CUST00062"/>
        <s v="CUST00063"/>
        <s v="CUST00064"/>
        <s v="CUST00065"/>
        <s v="CUST00066"/>
        <s v="CUST00067"/>
        <s v="CUST00068"/>
        <s v="CUST00069"/>
        <s v="CUST00070"/>
        <s v="CUST00071"/>
        <s v="CUST00072"/>
        <s v="CUST00073"/>
        <s v="CUST00074"/>
        <s v="CUST00075"/>
        <s v="CUST00076"/>
        <s v="CUST00077"/>
        <s v="CUST00078"/>
        <s v="CUST00079"/>
        <s v="CUST00080"/>
        <s v="CUST00081"/>
        <s v="CUST00082"/>
        <s v="CUST00083"/>
        <s v="CUST00084"/>
        <s v="CUST00085"/>
        <s v="CUST00086"/>
        <s v="CUST00087"/>
        <s v="CUST00088"/>
        <s v="CUST00089"/>
        <s v="CUST00090"/>
        <s v="CUST00091"/>
        <s v="CUST00092"/>
        <s v="CUST00093"/>
        <s v="CUST00094"/>
        <s v="CUST00095"/>
        <s v="CUST00096"/>
        <s v="CUST00097"/>
        <s v="CUST00098"/>
        <s v="CUST00099"/>
        <s v="CUST00100"/>
        <s v="CUST00101"/>
        <s v="CUST00102"/>
        <s v="CUST00103"/>
        <s v="CUST00104"/>
        <s v="CUST00105"/>
        <s v="CUST00106"/>
        <s v="CUST00107"/>
        <s v="CUST00108"/>
        <s v="CUST00109"/>
        <s v="CUST00110"/>
        <s v="CUST00111"/>
        <s v="CUST00112"/>
        <s v="CUST00113"/>
        <s v="CUST00114"/>
        <s v="CUST00115"/>
        <s v="CUST00116"/>
        <s v="CUST00117"/>
        <s v="CUST00118"/>
        <s v="CUST00119"/>
        <s v="CUST00120"/>
        <s v="CUST00121"/>
        <s v="CUST00122"/>
        <s v="CUST00123"/>
        <s v="CUST00124"/>
        <s v="CUST00125"/>
        <s v="CUST00126"/>
        <s v="CUST00127"/>
        <s v="CUST00128"/>
        <s v="CUST00129"/>
        <s v="CUST00130"/>
        <s v="CUST00131"/>
        <s v="CUST00132"/>
        <s v="CUST00133"/>
        <s v="CUST00134"/>
        <s v="CUST00135"/>
        <s v="CUST00136"/>
        <s v="CUST00137"/>
        <s v="CUST00138"/>
        <s v="CUST00139"/>
        <s v="CUST00140"/>
        <s v="CUST00141"/>
        <s v="CUST00142"/>
        <s v="CUST00143"/>
        <s v="CUST00144"/>
        <s v="CUST00145"/>
        <s v="CUST00146"/>
        <s v="CUST00147"/>
        <s v="CUST00148"/>
        <s v="CUST00149"/>
        <s v="CUST00150"/>
        <s v="CUST00151"/>
        <s v="CUST00152"/>
        <s v="CUST00153"/>
        <s v="CUST00154"/>
        <s v="CUST00155"/>
        <s v="CUST00156"/>
        <s v="CUST00157"/>
        <s v="CUST00158"/>
        <s v="CUST00159"/>
        <s v="CUST00160"/>
        <s v="CUST00161"/>
        <s v="CUST00162"/>
        <s v="CUST00163"/>
        <s v="CUST00164"/>
        <s v="CUST00165"/>
        <s v="CUST00166"/>
        <s v="CUST00167"/>
        <s v="CUST00168"/>
        <s v="CUST00169"/>
        <s v="CUST00170"/>
        <s v="CUST00171"/>
        <s v="CUST00172"/>
        <s v="CUST00173"/>
        <s v="CUST00174"/>
        <s v="CUST00175"/>
        <s v="CUST00176"/>
        <s v="CUST00177"/>
        <s v="CUST00178"/>
        <s v="CUST00179"/>
        <s v="CUST00180"/>
        <s v="CUST00181"/>
        <s v="CUST00182"/>
        <s v="CUST00183"/>
        <s v="CUST00184"/>
        <s v="CUST00185"/>
        <s v="CUST00186"/>
        <s v="CUST00187"/>
        <s v="CUST00188"/>
        <s v="CUST00189"/>
        <s v="CUST00190"/>
        <s v="CUST00191"/>
        <s v="CUST00192"/>
        <s v="CUST00193"/>
        <s v="CUST00194"/>
        <s v="CUST00195"/>
        <s v="CUST00196"/>
        <s v="CUST00197"/>
        <s v="CUST00198"/>
        <s v="CUST00199"/>
        <s v="CUST00200"/>
      </sharedItems>
    </cacheField>
    <cacheField name="customer_name" numFmtId="0">
      <sharedItems count="107">
        <s v="Metro Wholesale"/>
        <s v="National Retail"/>
        <s v="XYZ Industries"/>
        <s v="American Corp"/>
        <s v="American Distribution"/>
        <s v="American Industries"/>
        <s v="Superior Distribution"/>
        <s v="American Logistics"/>
        <s v="XYZ Wholesale"/>
        <s v="National Logistics"/>
        <s v="First Group"/>
        <s v="ABC Distribution"/>
        <s v="Pacific Corp"/>
        <s v="Elite Foods"/>
        <s v="United Industries"/>
        <s v="Superior Supply Chain"/>
        <s v="ABC Retail"/>
        <s v="American Supply Chain"/>
        <s v="First Corp"/>
        <s v="Elite Industries"/>
        <s v="Continental Supply Chain"/>
        <s v="Continental Industries"/>
        <s v="XYZ Distribution"/>
        <s v="Pacific Retail"/>
        <s v="ABC Supply Chain"/>
        <s v="Superior Foods"/>
        <s v="ABC Manufacturing"/>
        <s v="American Manufacturing"/>
        <s v="Continental Wholesale"/>
        <s v="XYZ Foods"/>
        <s v="Elite Retail"/>
        <s v="United Distribution"/>
        <s v="American Retail"/>
        <s v="ABC Corp"/>
        <s v="First Manufacturing"/>
        <s v="First Logistics"/>
        <s v="First Wholesale"/>
        <s v="Continental Corp"/>
        <s v="Global Manufacturing"/>
        <s v="Metro Corp"/>
        <s v="Elite Supply Chain"/>
        <s v="National Corp"/>
        <s v="Continental Retail"/>
        <s v="Premier Wholesale"/>
        <s v="Global Wholesale"/>
        <s v="Elite Group"/>
        <s v="Premier Group"/>
        <s v="Superior Group"/>
        <s v="Metro Retail"/>
        <s v="United Retail"/>
        <s v="Metro Supply Chain"/>
        <s v="Metro Manufacturing"/>
        <s v="Continental Manufacturing"/>
        <s v="Continental Distribution"/>
        <s v="Pacific Supply Chain"/>
        <s v="First Industries"/>
        <s v="Elite Corp"/>
        <s v="Metro Group"/>
        <s v="Pacific Logistics"/>
        <s v="First Distribution"/>
        <s v="ABC Wholesale"/>
        <s v="Global Logistics"/>
        <s v="Metro Logistics"/>
        <s v="United Foods"/>
        <s v="Pacific Manufacturing"/>
        <s v="Premier Foods"/>
        <s v="Continental Foods"/>
        <s v="United Group"/>
        <s v="First Foods"/>
        <s v="Continental Logistics"/>
        <s v="National Wholesale"/>
        <s v="National Supply Chain"/>
        <s v="ABC Foods"/>
        <s v="United Corp"/>
        <s v="Pacific Industries"/>
        <s v="United Supply Chain"/>
        <s v="Premier Industries"/>
        <s v="Global Distribution"/>
        <s v="Continental Group"/>
        <s v="Premier Manufacturing"/>
        <s v="Global Corp"/>
        <s v="Premier Logistics"/>
        <s v="Superior Industries"/>
        <s v="Superior Corp"/>
        <s v="Metro Foods"/>
        <s v="First Supply Chain"/>
        <s v="XYZ Supply Chain"/>
        <s v="First Retail"/>
        <s v="Global Group"/>
        <s v="XYZ Group"/>
        <s v="National Distribution"/>
        <s v="Superior Retail"/>
        <s v="Premier Retail"/>
        <s v="National Foods"/>
        <s v="ABC Group"/>
        <s v="Metro Distribution"/>
        <s v="XYZ Retail"/>
        <s v="ABC Industries"/>
        <s v="XYZ Logistics"/>
        <s v="Global Foods"/>
        <s v="National Industries"/>
        <s v="XYZ Corp"/>
        <s v="Pacific Foods"/>
        <s v="Elite Distribution"/>
        <s v="Pacific Group"/>
        <s v="Premier Supply Chain"/>
        <s v="Elite Wholesale"/>
      </sharedItems>
    </cacheField>
    <cacheField name="customer_type" numFmtId="0">
      <sharedItems count="3">
        <s v="Dedicated"/>
        <s v="Contract"/>
        <s v="Spot"/>
      </sharedItems>
    </cacheField>
    <cacheField name="credit_terms_days" numFmtId="0">
      <sharedItems containsSemiMixedTypes="0" containsString="0" containsNumber="1" containsInteger="1" minValue="15" maxValue="60" count="4">
        <n v="60"/>
        <n v="30"/>
        <n v="15"/>
        <n v="45"/>
      </sharedItems>
    </cacheField>
    <cacheField name="primary_freight_type" numFmtId="0">
      <sharedItems count="6">
        <s v="General"/>
        <s v="Retail"/>
        <s v="Consumer Goods"/>
        <s v="Food/Beverage"/>
        <s v="Automotive"/>
        <s v="Electronics"/>
      </sharedItems>
    </cacheField>
    <cacheField name="account_status" numFmtId="0">
      <sharedItems count="2">
        <s v="Inactive"/>
        <s v="Active"/>
      </sharedItems>
    </cacheField>
    <cacheField name="contract_start_date" numFmtId="14">
      <sharedItems containsSemiMixedTypes="0" containsNonDate="0" containsDate="1" containsString="0" minDate="2020-01-07T00:00:00" maxDate="2022-01-02T00:00:00" count="173">
        <d v="2020-02-20T00:00:00"/>
        <d v="2021-06-02T00:00:00"/>
        <d v="2020-09-04T00:00:00"/>
        <d v="2020-11-29T00:00:00"/>
        <d v="2020-02-04T00:00:00"/>
        <d v="2021-02-16T00:00:00"/>
        <d v="2021-02-05T00:00:00"/>
        <d v="2021-07-23T00:00:00"/>
        <d v="2020-03-28T00:00:00"/>
        <d v="2021-11-19T00:00:00"/>
        <d v="2020-06-18T00:00:00"/>
        <d v="2020-07-17T00:00:00"/>
        <d v="2021-08-29T00:00:00"/>
        <d v="2021-04-17T00:00:00"/>
        <d v="2020-08-27T00:00:00"/>
        <d v="2020-03-19T00:00:00"/>
        <d v="2021-03-02T00:00:00"/>
        <d v="2021-06-12T00:00:00"/>
        <d v="2020-12-28T00:00:00"/>
        <d v="2021-11-09T00:00:00"/>
        <d v="2020-02-19T00:00:00"/>
        <d v="2021-05-23T00:00:00"/>
        <d v="2021-09-08T00:00:00"/>
        <d v="2021-05-05T00:00:00"/>
        <d v="2020-03-24T00:00:00"/>
        <d v="2020-10-14T00:00:00"/>
        <d v="2021-02-03T00:00:00"/>
        <d v="2021-12-17T00:00:00"/>
        <d v="2021-07-14T00:00:00"/>
        <d v="2021-03-25T00:00:00"/>
        <d v="2020-05-13T00:00:00"/>
        <d v="2021-09-01T00:00:00"/>
        <d v="2020-11-22T00:00:00"/>
        <d v="2021-04-28T00:00:00"/>
        <d v="2021-12-23T00:00:00"/>
        <d v="2020-05-16T00:00:00"/>
        <d v="2020-01-25T00:00:00"/>
        <d v="2020-09-02T00:00:00"/>
        <d v="2020-01-28T00:00:00"/>
        <d v="2020-05-01T00:00:00"/>
        <d v="2021-07-27T00:00:00"/>
        <d v="2020-12-17T00:00:00"/>
        <d v="2021-10-02T00:00:00"/>
        <d v="2021-04-22T00:00:00"/>
        <d v="2021-07-24T00:00:00"/>
        <d v="2020-08-08T00:00:00"/>
        <d v="2021-09-30T00:00:00"/>
        <d v="2020-01-30T00:00:00"/>
        <d v="2020-04-08T00:00:00"/>
        <d v="2021-01-20T00:00:00"/>
        <d v="2020-04-01T00:00:00"/>
        <d v="2021-11-01T00:00:00"/>
        <d v="2021-01-02T00:00:00"/>
        <d v="2020-03-12T00:00:00"/>
        <d v="2021-07-28T00:00:00"/>
        <d v="2020-01-14T00:00:00"/>
        <d v="2020-07-01T00:00:00"/>
        <d v="2021-09-14T00:00:00"/>
        <d v="2021-08-26T00:00:00"/>
        <d v="2020-08-20T00:00:00"/>
        <d v="2021-05-08T00:00:00"/>
        <d v="2021-02-11T00:00:00"/>
        <d v="2020-06-09T00:00:00"/>
        <d v="2021-01-11T00:00:00"/>
        <d v="2020-10-09T00:00:00"/>
        <d v="2021-06-18T00:00:00"/>
        <d v="2021-12-11T00:00:00"/>
        <d v="2020-01-27T00:00:00"/>
        <d v="2020-12-11T00:00:00"/>
        <d v="2020-12-31T00:00:00"/>
        <d v="2021-08-17T00:00:00"/>
        <d v="2021-04-20T00:00:00"/>
        <d v="2021-11-22T00:00:00"/>
        <d v="2020-08-23T00:00:00"/>
        <d v="2020-01-09T00:00:00"/>
        <d v="2020-10-10T00:00:00"/>
        <d v="2020-06-08T00:00:00"/>
        <d v="2021-03-06T00:00:00"/>
        <d v="2020-06-25T00:00:00"/>
        <d v="2020-01-19T00:00:00"/>
        <d v="2020-08-18T00:00:00"/>
        <d v="2021-06-21T00:00:00"/>
        <d v="2020-05-31T00:00:00"/>
        <d v="2021-06-24T00:00:00"/>
        <d v="2020-06-24T00:00:00"/>
        <d v="2021-01-10T00:00:00"/>
        <d v="2021-02-04T00:00:00"/>
        <d v="2020-09-09T00:00:00"/>
        <d v="2021-03-26T00:00:00"/>
        <d v="2020-04-28T00:00:00"/>
        <d v="2020-06-13T00:00:00"/>
        <d v="2021-07-21T00:00:00"/>
        <d v="2021-10-23T00:00:00"/>
        <d v="2020-07-07T00:00:00"/>
        <d v="2020-09-28T00:00:00"/>
        <d v="2021-03-05T00:00:00"/>
        <d v="2021-04-07T00:00:00"/>
        <d v="2020-06-26T00:00:00"/>
        <d v="2020-12-22T00:00:00"/>
        <d v="2020-09-24T00:00:00"/>
        <d v="2022-01-01T00:00:00"/>
        <d v="2020-08-01T00:00:00"/>
        <d v="2020-12-09T00:00:00"/>
        <d v="2021-06-26T00:00:00"/>
        <d v="2021-12-13T00:00:00"/>
        <d v="2020-04-07T00:00:00"/>
        <d v="2020-12-25T00:00:00"/>
        <d v="2020-04-06T00:00:00"/>
        <d v="2021-05-02T00:00:00"/>
        <d v="2021-02-07T00:00:00"/>
        <d v="2021-10-29T00:00:00"/>
        <d v="2020-02-27T00:00:00"/>
        <d v="2020-06-29T00:00:00"/>
        <d v="2020-12-01T00:00:00"/>
        <d v="2020-07-14T00:00:00"/>
        <d v="2020-02-02T00:00:00"/>
        <d v="2020-08-10T00:00:00"/>
        <d v="2020-06-16T00:00:00"/>
        <d v="2020-04-14T00:00:00"/>
        <d v="2021-03-18T00:00:00"/>
        <d v="2020-11-08T00:00:00"/>
        <d v="2020-03-16T00:00:00"/>
        <d v="2021-02-06T00:00:00"/>
        <d v="2021-09-10T00:00:00"/>
        <d v="2021-09-25T00:00:00"/>
        <d v="2020-07-15T00:00:00"/>
        <d v="2021-10-25T00:00:00"/>
        <d v="2021-11-18T00:00:00"/>
        <d v="2021-08-22T00:00:00"/>
        <d v="2021-07-03T00:00:00"/>
        <d v="2021-11-30T00:00:00"/>
        <d v="2021-06-09T00:00:00"/>
        <d v="2020-08-22T00:00:00"/>
        <d v="2021-06-19T00:00:00"/>
        <d v="2021-09-22T00:00:00"/>
        <d v="2020-05-27T00:00:00"/>
        <d v="2020-03-15T00:00:00"/>
        <d v="2020-11-30T00:00:00"/>
        <d v="2020-02-28T00:00:00"/>
        <d v="2020-07-12T00:00:00"/>
        <d v="2020-04-03T00:00:00"/>
        <d v="2020-05-07T00:00:00"/>
        <d v="2021-04-14T00:00:00"/>
        <d v="2021-11-12T00:00:00"/>
        <d v="2021-05-20T00:00:00"/>
        <d v="2020-04-21T00:00:00"/>
        <d v="2021-10-21T00:00:00"/>
        <d v="2021-12-19T00:00:00"/>
        <d v="2020-03-01T00:00:00"/>
        <d v="2020-08-16T00:00:00"/>
        <d v="2021-10-12T00:00:00"/>
        <d v="2020-03-18T00:00:00"/>
        <d v="2021-10-31T00:00:00"/>
        <d v="2020-11-02T00:00:00"/>
        <d v="2020-12-20T00:00:00"/>
        <d v="2020-01-07T00:00:00"/>
        <d v="2021-11-03T00:00:00"/>
        <d v="2020-04-10T00:00:00"/>
        <d v="2021-04-04T00:00:00"/>
        <d v="2020-07-09T00:00:00"/>
        <d v="2021-11-21T00:00:00"/>
        <d v="2021-02-24T00:00:00"/>
        <d v="2021-10-14T00:00:00"/>
        <d v="2021-05-25T00:00:00"/>
        <d v="2020-07-19T00:00:00"/>
        <d v="2021-09-24T00:00:00"/>
        <d v="2021-09-20T00:00:00"/>
        <d v="2021-05-10T00:00:00"/>
        <d v="2020-07-06T00:00:00"/>
        <d v="2020-12-03T00:00:00"/>
        <d v="2020-02-29T00:00:00"/>
        <d v="2020-05-28T00:00:00"/>
        <d v="2021-07-02T00:00:00"/>
      </sharedItems>
    </cacheField>
    <cacheField name="annual_revenue_potential" numFmtId="0">
      <sharedItems containsSemiMixedTypes="0" containsString="0" containsNumber="1" containsInteger="1" minValue="101641" maxValue="4990599" count="200">
        <n v="985117"/>
        <n v="4936566"/>
        <n v="3102814"/>
        <n v="3948027"/>
        <n v="3682564"/>
        <n v="973274"/>
        <n v="1499297"/>
        <n v="1613275"/>
        <n v="4713444"/>
        <n v="3468505"/>
        <n v="4333669"/>
        <n v="2931263"/>
        <n v="1426880"/>
        <n v="4578681"/>
        <n v="3816255"/>
        <n v="3055508"/>
        <n v="2743711"/>
        <n v="4714416"/>
        <n v="2823396"/>
        <n v="3218209"/>
        <n v="3558986"/>
        <n v="3712034"/>
        <n v="2813302"/>
        <n v="2119327"/>
        <n v="4824000"/>
        <n v="4677044"/>
        <n v="1894559"/>
        <n v="3246257"/>
        <n v="4715736"/>
        <n v="2231454"/>
        <n v="3119970"/>
        <n v="3895035"/>
        <n v="3853900"/>
        <n v="3431037"/>
        <n v="101641"/>
        <n v="390773"/>
        <n v="2486409"/>
        <n v="236754"/>
        <n v="4442022"/>
        <n v="1233181"/>
        <n v="2632031"/>
        <n v="155103"/>
        <n v="2619383"/>
        <n v="1961320"/>
        <n v="1902064"/>
        <n v="2741611"/>
        <n v="282044"/>
        <n v="2414896"/>
        <n v="4744463"/>
        <n v="4388856"/>
        <n v="4766776"/>
        <n v="4887111"/>
        <n v="4895027"/>
        <n v="1397841"/>
        <n v="890937"/>
        <n v="416555"/>
        <n v="3961861"/>
        <n v="3083456"/>
        <n v="1409521"/>
        <n v="1261052"/>
        <n v="2322881"/>
        <n v="3179314"/>
        <n v="4983476"/>
        <n v="2195951"/>
        <n v="2054496"/>
        <n v="2249529"/>
        <n v="2619119"/>
        <n v="870956"/>
        <n v="4885593"/>
        <n v="3453750"/>
        <n v="4873662"/>
        <n v="1923996"/>
        <n v="747613"/>
        <n v="2823714"/>
        <n v="4147781"/>
        <n v="1550411"/>
        <n v="4195959"/>
        <n v="4933788"/>
        <n v="899971"/>
        <n v="2619881"/>
        <n v="413495"/>
        <n v="4934218"/>
        <n v="3300640"/>
        <n v="758316"/>
        <n v="569113"/>
        <n v="2905063"/>
        <n v="3018650"/>
        <n v="3743209"/>
        <n v="3594037"/>
        <n v="1111167"/>
        <n v="2001845"/>
        <n v="195918"/>
        <n v="3308533"/>
        <n v="554058"/>
        <n v="2656708"/>
        <n v="4498846"/>
        <n v="445461"/>
        <n v="2778621"/>
        <n v="4629258"/>
        <n v="4838832"/>
        <n v="1354768"/>
        <n v="2841662"/>
        <n v="4314450"/>
        <n v="1952180"/>
        <n v="1385113"/>
        <n v="523790"/>
        <n v="3395738"/>
        <n v="3838099"/>
        <n v="4925587"/>
        <n v="4333976"/>
        <n v="855670"/>
        <n v="1962989"/>
        <n v="3723339"/>
        <n v="2530876"/>
        <n v="3407816"/>
        <n v="1341618"/>
        <n v="1208882"/>
        <n v="2919983"/>
        <n v="792438"/>
        <n v="4091758"/>
        <n v="4893591"/>
        <n v="513651"/>
        <n v="4698235"/>
        <n v="3448659"/>
        <n v="2302495"/>
        <n v="813694"/>
        <n v="3443087"/>
        <n v="4309597"/>
        <n v="3744775"/>
        <n v="1193666"/>
        <n v="1231377"/>
        <n v="4134270"/>
        <n v="4791716"/>
        <n v="1761854"/>
        <n v="4192475"/>
        <n v="3416174"/>
        <n v="4892669"/>
        <n v="1745000"/>
        <n v="4807415"/>
        <n v="4497709"/>
        <n v="2165659"/>
        <n v="2132686"/>
        <n v="700993"/>
        <n v="2333526"/>
        <n v="3707652"/>
        <n v="2812973"/>
        <n v="4931991"/>
        <n v="851574"/>
        <n v="1043968"/>
        <n v="3569377"/>
        <n v="3652916"/>
        <n v="3164087"/>
        <n v="3021818"/>
        <n v="1697943"/>
        <n v="2790548"/>
        <n v="2990084"/>
        <n v="303061"/>
        <n v="2657005"/>
        <n v="1519816"/>
        <n v="3033633"/>
        <n v="3809527"/>
        <n v="1323214"/>
        <n v="3794875"/>
        <n v="476460"/>
        <n v="2058652"/>
        <n v="1775080"/>
        <n v="3235836"/>
        <n v="1408549"/>
        <n v="819863"/>
        <n v="1042642"/>
        <n v="557498"/>
        <n v="2138836"/>
        <n v="1338805"/>
        <n v="2513277"/>
        <n v="215203"/>
        <n v="2979568"/>
        <n v="1033467"/>
        <n v="2659515"/>
        <n v="3875390"/>
        <n v="4052630"/>
        <n v="290825"/>
        <n v="2883983"/>
        <n v="1853299"/>
        <n v="4613116"/>
        <n v="1877338"/>
        <n v="1809609"/>
        <n v="4683738"/>
        <n v="4489472"/>
        <n v="2269780"/>
        <n v="4703668"/>
        <n v="4151918"/>
        <n v="1285708"/>
        <n v="254254"/>
        <n v="3259205"/>
        <n v="4990599"/>
        <n v="4519111"/>
        <n v="464753"/>
        <n v="2242923"/>
        <n v="1528744"/>
        <n v="604239"/>
      </sharedItems>
    </cacheField>
    <cacheField name="year" numFmtId="0">
      <sharedItems count="3">
        <s v="2020"/>
        <s v="2021"/>
        <s v="2022"/>
      </sharedItems>
    </cacheField>
    <cacheField name="month" numFmtId="0">
      <sharedItems count="12">
        <s v="February"/>
        <s v="June"/>
        <s v="September"/>
        <s v="November"/>
        <s v="July"/>
        <s v="March"/>
        <s v="August"/>
        <s v="April"/>
        <s v="December"/>
        <s v="May"/>
        <s v="October"/>
        <s v="January"/>
      </sharedItems>
    </cacheField>
  </cacheFields>
  <extLst>
    <ext xmlns:x14="http://schemas.microsoft.com/office/spreadsheetml/2009/9/main" uri="{725AE2AE-9491-48be-B2B4-4EB974FC3084}">
      <x14:pivotCacheDefinition pivotCacheId="1742458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x v="0"/>
    <x v="0"/>
    <x v="0"/>
    <x v="0"/>
  </r>
  <r>
    <x v="1"/>
    <x v="1"/>
    <x v="1"/>
    <x v="1"/>
    <x v="1"/>
    <x v="1"/>
    <x v="1"/>
    <x v="1"/>
    <x v="1"/>
    <x v="1"/>
  </r>
  <r>
    <x v="2"/>
    <x v="2"/>
    <x v="1"/>
    <x v="1"/>
    <x v="2"/>
    <x v="1"/>
    <x v="2"/>
    <x v="2"/>
    <x v="0"/>
    <x v="2"/>
  </r>
  <r>
    <x v="3"/>
    <x v="3"/>
    <x v="1"/>
    <x v="2"/>
    <x v="3"/>
    <x v="1"/>
    <x v="3"/>
    <x v="3"/>
    <x v="0"/>
    <x v="3"/>
  </r>
  <r>
    <x v="4"/>
    <x v="4"/>
    <x v="2"/>
    <x v="3"/>
    <x v="2"/>
    <x v="1"/>
    <x v="4"/>
    <x v="4"/>
    <x v="0"/>
    <x v="0"/>
  </r>
  <r>
    <x v="5"/>
    <x v="5"/>
    <x v="0"/>
    <x v="1"/>
    <x v="2"/>
    <x v="1"/>
    <x v="5"/>
    <x v="5"/>
    <x v="1"/>
    <x v="0"/>
  </r>
  <r>
    <x v="6"/>
    <x v="6"/>
    <x v="2"/>
    <x v="1"/>
    <x v="3"/>
    <x v="1"/>
    <x v="6"/>
    <x v="6"/>
    <x v="1"/>
    <x v="0"/>
  </r>
  <r>
    <x v="7"/>
    <x v="7"/>
    <x v="1"/>
    <x v="1"/>
    <x v="4"/>
    <x v="0"/>
    <x v="7"/>
    <x v="7"/>
    <x v="1"/>
    <x v="4"/>
  </r>
  <r>
    <x v="8"/>
    <x v="8"/>
    <x v="1"/>
    <x v="1"/>
    <x v="1"/>
    <x v="0"/>
    <x v="8"/>
    <x v="8"/>
    <x v="0"/>
    <x v="5"/>
  </r>
  <r>
    <x v="9"/>
    <x v="9"/>
    <x v="0"/>
    <x v="3"/>
    <x v="4"/>
    <x v="1"/>
    <x v="9"/>
    <x v="9"/>
    <x v="1"/>
    <x v="3"/>
  </r>
  <r>
    <x v="10"/>
    <x v="10"/>
    <x v="0"/>
    <x v="2"/>
    <x v="5"/>
    <x v="1"/>
    <x v="10"/>
    <x v="10"/>
    <x v="0"/>
    <x v="1"/>
  </r>
  <r>
    <x v="11"/>
    <x v="11"/>
    <x v="0"/>
    <x v="1"/>
    <x v="5"/>
    <x v="1"/>
    <x v="11"/>
    <x v="11"/>
    <x v="0"/>
    <x v="4"/>
  </r>
  <r>
    <x v="12"/>
    <x v="12"/>
    <x v="0"/>
    <x v="0"/>
    <x v="0"/>
    <x v="1"/>
    <x v="12"/>
    <x v="12"/>
    <x v="1"/>
    <x v="6"/>
  </r>
  <r>
    <x v="13"/>
    <x v="13"/>
    <x v="1"/>
    <x v="3"/>
    <x v="2"/>
    <x v="1"/>
    <x v="13"/>
    <x v="13"/>
    <x v="1"/>
    <x v="7"/>
  </r>
  <r>
    <x v="14"/>
    <x v="10"/>
    <x v="2"/>
    <x v="2"/>
    <x v="4"/>
    <x v="1"/>
    <x v="14"/>
    <x v="14"/>
    <x v="0"/>
    <x v="6"/>
  </r>
  <r>
    <x v="15"/>
    <x v="14"/>
    <x v="0"/>
    <x v="0"/>
    <x v="3"/>
    <x v="1"/>
    <x v="15"/>
    <x v="15"/>
    <x v="0"/>
    <x v="5"/>
  </r>
  <r>
    <x v="16"/>
    <x v="15"/>
    <x v="0"/>
    <x v="0"/>
    <x v="4"/>
    <x v="1"/>
    <x v="16"/>
    <x v="16"/>
    <x v="1"/>
    <x v="5"/>
  </r>
  <r>
    <x v="17"/>
    <x v="16"/>
    <x v="0"/>
    <x v="0"/>
    <x v="0"/>
    <x v="1"/>
    <x v="17"/>
    <x v="17"/>
    <x v="1"/>
    <x v="1"/>
  </r>
  <r>
    <x v="18"/>
    <x v="17"/>
    <x v="1"/>
    <x v="1"/>
    <x v="1"/>
    <x v="1"/>
    <x v="18"/>
    <x v="18"/>
    <x v="0"/>
    <x v="8"/>
  </r>
  <r>
    <x v="19"/>
    <x v="18"/>
    <x v="1"/>
    <x v="1"/>
    <x v="2"/>
    <x v="0"/>
    <x v="19"/>
    <x v="19"/>
    <x v="1"/>
    <x v="3"/>
  </r>
  <r>
    <x v="20"/>
    <x v="19"/>
    <x v="0"/>
    <x v="0"/>
    <x v="2"/>
    <x v="1"/>
    <x v="20"/>
    <x v="20"/>
    <x v="0"/>
    <x v="0"/>
  </r>
  <r>
    <x v="21"/>
    <x v="20"/>
    <x v="1"/>
    <x v="2"/>
    <x v="4"/>
    <x v="1"/>
    <x v="21"/>
    <x v="21"/>
    <x v="1"/>
    <x v="9"/>
  </r>
  <r>
    <x v="22"/>
    <x v="21"/>
    <x v="2"/>
    <x v="1"/>
    <x v="0"/>
    <x v="1"/>
    <x v="22"/>
    <x v="22"/>
    <x v="1"/>
    <x v="2"/>
  </r>
  <r>
    <x v="23"/>
    <x v="22"/>
    <x v="1"/>
    <x v="2"/>
    <x v="5"/>
    <x v="1"/>
    <x v="23"/>
    <x v="23"/>
    <x v="1"/>
    <x v="9"/>
  </r>
  <r>
    <x v="24"/>
    <x v="23"/>
    <x v="1"/>
    <x v="1"/>
    <x v="3"/>
    <x v="0"/>
    <x v="24"/>
    <x v="24"/>
    <x v="0"/>
    <x v="5"/>
  </r>
  <r>
    <x v="25"/>
    <x v="24"/>
    <x v="0"/>
    <x v="1"/>
    <x v="1"/>
    <x v="0"/>
    <x v="25"/>
    <x v="25"/>
    <x v="0"/>
    <x v="10"/>
  </r>
  <r>
    <x v="26"/>
    <x v="25"/>
    <x v="2"/>
    <x v="1"/>
    <x v="4"/>
    <x v="1"/>
    <x v="26"/>
    <x v="26"/>
    <x v="1"/>
    <x v="0"/>
  </r>
  <r>
    <x v="27"/>
    <x v="10"/>
    <x v="1"/>
    <x v="2"/>
    <x v="4"/>
    <x v="1"/>
    <x v="27"/>
    <x v="27"/>
    <x v="1"/>
    <x v="8"/>
  </r>
  <r>
    <x v="28"/>
    <x v="6"/>
    <x v="0"/>
    <x v="1"/>
    <x v="3"/>
    <x v="1"/>
    <x v="28"/>
    <x v="28"/>
    <x v="1"/>
    <x v="4"/>
  </r>
  <r>
    <x v="29"/>
    <x v="26"/>
    <x v="2"/>
    <x v="2"/>
    <x v="5"/>
    <x v="1"/>
    <x v="29"/>
    <x v="29"/>
    <x v="1"/>
    <x v="5"/>
  </r>
  <r>
    <x v="30"/>
    <x v="27"/>
    <x v="0"/>
    <x v="1"/>
    <x v="4"/>
    <x v="1"/>
    <x v="30"/>
    <x v="30"/>
    <x v="0"/>
    <x v="9"/>
  </r>
  <r>
    <x v="31"/>
    <x v="28"/>
    <x v="0"/>
    <x v="3"/>
    <x v="3"/>
    <x v="1"/>
    <x v="31"/>
    <x v="31"/>
    <x v="1"/>
    <x v="2"/>
  </r>
  <r>
    <x v="32"/>
    <x v="29"/>
    <x v="1"/>
    <x v="1"/>
    <x v="2"/>
    <x v="1"/>
    <x v="32"/>
    <x v="32"/>
    <x v="0"/>
    <x v="3"/>
  </r>
  <r>
    <x v="33"/>
    <x v="30"/>
    <x v="1"/>
    <x v="0"/>
    <x v="2"/>
    <x v="1"/>
    <x v="33"/>
    <x v="33"/>
    <x v="1"/>
    <x v="7"/>
  </r>
  <r>
    <x v="34"/>
    <x v="31"/>
    <x v="2"/>
    <x v="2"/>
    <x v="3"/>
    <x v="1"/>
    <x v="34"/>
    <x v="34"/>
    <x v="1"/>
    <x v="8"/>
  </r>
  <r>
    <x v="35"/>
    <x v="1"/>
    <x v="2"/>
    <x v="3"/>
    <x v="1"/>
    <x v="1"/>
    <x v="9"/>
    <x v="35"/>
    <x v="1"/>
    <x v="3"/>
  </r>
  <r>
    <x v="36"/>
    <x v="32"/>
    <x v="2"/>
    <x v="2"/>
    <x v="2"/>
    <x v="1"/>
    <x v="35"/>
    <x v="36"/>
    <x v="0"/>
    <x v="9"/>
  </r>
  <r>
    <x v="37"/>
    <x v="20"/>
    <x v="0"/>
    <x v="1"/>
    <x v="3"/>
    <x v="1"/>
    <x v="36"/>
    <x v="37"/>
    <x v="0"/>
    <x v="11"/>
  </r>
  <r>
    <x v="38"/>
    <x v="8"/>
    <x v="1"/>
    <x v="0"/>
    <x v="3"/>
    <x v="1"/>
    <x v="37"/>
    <x v="38"/>
    <x v="0"/>
    <x v="2"/>
  </r>
  <r>
    <x v="39"/>
    <x v="33"/>
    <x v="1"/>
    <x v="0"/>
    <x v="2"/>
    <x v="1"/>
    <x v="38"/>
    <x v="39"/>
    <x v="0"/>
    <x v="11"/>
  </r>
  <r>
    <x v="40"/>
    <x v="2"/>
    <x v="0"/>
    <x v="0"/>
    <x v="3"/>
    <x v="1"/>
    <x v="39"/>
    <x v="40"/>
    <x v="0"/>
    <x v="9"/>
  </r>
  <r>
    <x v="41"/>
    <x v="3"/>
    <x v="0"/>
    <x v="1"/>
    <x v="4"/>
    <x v="1"/>
    <x v="40"/>
    <x v="41"/>
    <x v="1"/>
    <x v="4"/>
  </r>
  <r>
    <x v="42"/>
    <x v="34"/>
    <x v="2"/>
    <x v="1"/>
    <x v="3"/>
    <x v="0"/>
    <x v="41"/>
    <x v="42"/>
    <x v="0"/>
    <x v="8"/>
  </r>
  <r>
    <x v="43"/>
    <x v="7"/>
    <x v="1"/>
    <x v="0"/>
    <x v="3"/>
    <x v="1"/>
    <x v="42"/>
    <x v="43"/>
    <x v="1"/>
    <x v="10"/>
  </r>
  <r>
    <x v="44"/>
    <x v="35"/>
    <x v="0"/>
    <x v="1"/>
    <x v="3"/>
    <x v="1"/>
    <x v="43"/>
    <x v="44"/>
    <x v="1"/>
    <x v="7"/>
  </r>
  <r>
    <x v="45"/>
    <x v="36"/>
    <x v="0"/>
    <x v="1"/>
    <x v="3"/>
    <x v="1"/>
    <x v="44"/>
    <x v="45"/>
    <x v="1"/>
    <x v="4"/>
  </r>
  <r>
    <x v="46"/>
    <x v="19"/>
    <x v="2"/>
    <x v="3"/>
    <x v="5"/>
    <x v="0"/>
    <x v="45"/>
    <x v="46"/>
    <x v="0"/>
    <x v="6"/>
  </r>
  <r>
    <x v="47"/>
    <x v="34"/>
    <x v="2"/>
    <x v="1"/>
    <x v="4"/>
    <x v="1"/>
    <x v="46"/>
    <x v="47"/>
    <x v="1"/>
    <x v="2"/>
  </r>
  <r>
    <x v="48"/>
    <x v="37"/>
    <x v="2"/>
    <x v="3"/>
    <x v="3"/>
    <x v="1"/>
    <x v="47"/>
    <x v="48"/>
    <x v="0"/>
    <x v="11"/>
  </r>
  <r>
    <x v="49"/>
    <x v="38"/>
    <x v="2"/>
    <x v="0"/>
    <x v="0"/>
    <x v="1"/>
    <x v="48"/>
    <x v="49"/>
    <x v="0"/>
    <x v="7"/>
  </r>
  <r>
    <x v="50"/>
    <x v="8"/>
    <x v="1"/>
    <x v="2"/>
    <x v="0"/>
    <x v="0"/>
    <x v="49"/>
    <x v="50"/>
    <x v="1"/>
    <x v="11"/>
  </r>
  <r>
    <x v="51"/>
    <x v="39"/>
    <x v="1"/>
    <x v="1"/>
    <x v="0"/>
    <x v="1"/>
    <x v="50"/>
    <x v="51"/>
    <x v="0"/>
    <x v="7"/>
  </r>
  <r>
    <x v="52"/>
    <x v="40"/>
    <x v="2"/>
    <x v="0"/>
    <x v="2"/>
    <x v="1"/>
    <x v="51"/>
    <x v="52"/>
    <x v="1"/>
    <x v="3"/>
  </r>
  <r>
    <x v="53"/>
    <x v="36"/>
    <x v="1"/>
    <x v="0"/>
    <x v="2"/>
    <x v="1"/>
    <x v="51"/>
    <x v="53"/>
    <x v="1"/>
    <x v="3"/>
  </r>
  <r>
    <x v="54"/>
    <x v="41"/>
    <x v="1"/>
    <x v="1"/>
    <x v="1"/>
    <x v="1"/>
    <x v="52"/>
    <x v="54"/>
    <x v="1"/>
    <x v="11"/>
  </r>
  <r>
    <x v="55"/>
    <x v="42"/>
    <x v="0"/>
    <x v="2"/>
    <x v="5"/>
    <x v="1"/>
    <x v="53"/>
    <x v="55"/>
    <x v="0"/>
    <x v="5"/>
  </r>
  <r>
    <x v="56"/>
    <x v="43"/>
    <x v="1"/>
    <x v="2"/>
    <x v="0"/>
    <x v="1"/>
    <x v="54"/>
    <x v="56"/>
    <x v="1"/>
    <x v="4"/>
  </r>
  <r>
    <x v="57"/>
    <x v="25"/>
    <x v="1"/>
    <x v="1"/>
    <x v="5"/>
    <x v="1"/>
    <x v="55"/>
    <x v="57"/>
    <x v="0"/>
    <x v="11"/>
  </r>
  <r>
    <x v="58"/>
    <x v="27"/>
    <x v="2"/>
    <x v="0"/>
    <x v="0"/>
    <x v="1"/>
    <x v="56"/>
    <x v="58"/>
    <x v="0"/>
    <x v="4"/>
  </r>
  <r>
    <x v="59"/>
    <x v="44"/>
    <x v="2"/>
    <x v="1"/>
    <x v="1"/>
    <x v="1"/>
    <x v="57"/>
    <x v="59"/>
    <x v="1"/>
    <x v="2"/>
  </r>
  <r>
    <x v="60"/>
    <x v="45"/>
    <x v="2"/>
    <x v="2"/>
    <x v="4"/>
    <x v="1"/>
    <x v="58"/>
    <x v="60"/>
    <x v="1"/>
    <x v="6"/>
  </r>
  <r>
    <x v="61"/>
    <x v="46"/>
    <x v="0"/>
    <x v="1"/>
    <x v="5"/>
    <x v="0"/>
    <x v="59"/>
    <x v="61"/>
    <x v="0"/>
    <x v="6"/>
  </r>
  <r>
    <x v="62"/>
    <x v="47"/>
    <x v="0"/>
    <x v="0"/>
    <x v="4"/>
    <x v="1"/>
    <x v="60"/>
    <x v="62"/>
    <x v="1"/>
    <x v="9"/>
  </r>
  <r>
    <x v="63"/>
    <x v="48"/>
    <x v="2"/>
    <x v="2"/>
    <x v="1"/>
    <x v="1"/>
    <x v="61"/>
    <x v="63"/>
    <x v="1"/>
    <x v="0"/>
  </r>
  <r>
    <x v="64"/>
    <x v="49"/>
    <x v="0"/>
    <x v="2"/>
    <x v="5"/>
    <x v="1"/>
    <x v="62"/>
    <x v="64"/>
    <x v="0"/>
    <x v="1"/>
  </r>
  <r>
    <x v="65"/>
    <x v="13"/>
    <x v="0"/>
    <x v="2"/>
    <x v="4"/>
    <x v="1"/>
    <x v="53"/>
    <x v="65"/>
    <x v="0"/>
    <x v="5"/>
  </r>
  <r>
    <x v="66"/>
    <x v="50"/>
    <x v="1"/>
    <x v="0"/>
    <x v="1"/>
    <x v="1"/>
    <x v="63"/>
    <x v="66"/>
    <x v="1"/>
    <x v="11"/>
  </r>
  <r>
    <x v="67"/>
    <x v="51"/>
    <x v="1"/>
    <x v="1"/>
    <x v="3"/>
    <x v="1"/>
    <x v="64"/>
    <x v="67"/>
    <x v="0"/>
    <x v="10"/>
  </r>
  <r>
    <x v="68"/>
    <x v="52"/>
    <x v="1"/>
    <x v="2"/>
    <x v="5"/>
    <x v="1"/>
    <x v="65"/>
    <x v="68"/>
    <x v="1"/>
    <x v="1"/>
  </r>
  <r>
    <x v="69"/>
    <x v="10"/>
    <x v="2"/>
    <x v="0"/>
    <x v="4"/>
    <x v="0"/>
    <x v="66"/>
    <x v="69"/>
    <x v="1"/>
    <x v="8"/>
  </r>
  <r>
    <x v="70"/>
    <x v="20"/>
    <x v="2"/>
    <x v="0"/>
    <x v="1"/>
    <x v="1"/>
    <x v="67"/>
    <x v="70"/>
    <x v="0"/>
    <x v="11"/>
  </r>
  <r>
    <x v="71"/>
    <x v="53"/>
    <x v="2"/>
    <x v="3"/>
    <x v="3"/>
    <x v="0"/>
    <x v="68"/>
    <x v="71"/>
    <x v="0"/>
    <x v="8"/>
  </r>
  <r>
    <x v="72"/>
    <x v="54"/>
    <x v="0"/>
    <x v="2"/>
    <x v="5"/>
    <x v="1"/>
    <x v="69"/>
    <x v="72"/>
    <x v="0"/>
    <x v="8"/>
  </r>
  <r>
    <x v="73"/>
    <x v="55"/>
    <x v="1"/>
    <x v="0"/>
    <x v="3"/>
    <x v="1"/>
    <x v="70"/>
    <x v="73"/>
    <x v="1"/>
    <x v="6"/>
  </r>
  <r>
    <x v="74"/>
    <x v="56"/>
    <x v="1"/>
    <x v="1"/>
    <x v="0"/>
    <x v="0"/>
    <x v="71"/>
    <x v="74"/>
    <x v="1"/>
    <x v="7"/>
  </r>
  <r>
    <x v="75"/>
    <x v="0"/>
    <x v="2"/>
    <x v="0"/>
    <x v="5"/>
    <x v="1"/>
    <x v="72"/>
    <x v="75"/>
    <x v="1"/>
    <x v="3"/>
  </r>
  <r>
    <x v="76"/>
    <x v="57"/>
    <x v="2"/>
    <x v="0"/>
    <x v="1"/>
    <x v="0"/>
    <x v="73"/>
    <x v="76"/>
    <x v="0"/>
    <x v="6"/>
  </r>
  <r>
    <x v="77"/>
    <x v="43"/>
    <x v="2"/>
    <x v="3"/>
    <x v="1"/>
    <x v="0"/>
    <x v="74"/>
    <x v="77"/>
    <x v="0"/>
    <x v="11"/>
  </r>
  <r>
    <x v="78"/>
    <x v="58"/>
    <x v="2"/>
    <x v="2"/>
    <x v="5"/>
    <x v="1"/>
    <x v="75"/>
    <x v="78"/>
    <x v="0"/>
    <x v="10"/>
  </r>
  <r>
    <x v="79"/>
    <x v="59"/>
    <x v="2"/>
    <x v="0"/>
    <x v="0"/>
    <x v="0"/>
    <x v="76"/>
    <x v="79"/>
    <x v="0"/>
    <x v="1"/>
  </r>
  <r>
    <x v="80"/>
    <x v="60"/>
    <x v="2"/>
    <x v="1"/>
    <x v="5"/>
    <x v="1"/>
    <x v="77"/>
    <x v="80"/>
    <x v="1"/>
    <x v="5"/>
  </r>
  <r>
    <x v="81"/>
    <x v="61"/>
    <x v="2"/>
    <x v="3"/>
    <x v="4"/>
    <x v="0"/>
    <x v="78"/>
    <x v="81"/>
    <x v="0"/>
    <x v="1"/>
  </r>
  <r>
    <x v="82"/>
    <x v="62"/>
    <x v="1"/>
    <x v="0"/>
    <x v="1"/>
    <x v="0"/>
    <x v="79"/>
    <x v="82"/>
    <x v="0"/>
    <x v="11"/>
  </r>
  <r>
    <x v="83"/>
    <x v="63"/>
    <x v="0"/>
    <x v="1"/>
    <x v="2"/>
    <x v="1"/>
    <x v="80"/>
    <x v="83"/>
    <x v="0"/>
    <x v="6"/>
  </r>
  <r>
    <x v="84"/>
    <x v="64"/>
    <x v="0"/>
    <x v="2"/>
    <x v="3"/>
    <x v="1"/>
    <x v="81"/>
    <x v="84"/>
    <x v="1"/>
    <x v="1"/>
  </r>
  <r>
    <x v="85"/>
    <x v="65"/>
    <x v="1"/>
    <x v="3"/>
    <x v="1"/>
    <x v="1"/>
    <x v="82"/>
    <x v="85"/>
    <x v="0"/>
    <x v="9"/>
  </r>
  <r>
    <x v="86"/>
    <x v="61"/>
    <x v="1"/>
    <x v="0"/>
    <x v="0"/>
    <x v="0"/>
    <x v="83"/>
    <x v="86"/>
    <x v="1"/>
    <x v="1"/>
  </r>
  <r>
    <x v="87"/>
    <x v="66"/>
    <x v="0"/>
    <x v="3"/>
    <x v="2"/>
    <x v="1"/>
    <x v="84"/>
    <x v="87"/>
    <x v="0"/>
    <x v="1"/>
  </r>
  <r>
    <x v="88"/>
    <x v="67"/>
    <x v="2"/>
    <x v="1"/>
    <x v="5"/>
    <x v="1"/>
    <x v="85"/>
    <x v="88"/>
    <x v="1"/>
    <x v="11"/>
  </r>
  <r>
    <x v="89"/>
    <x v="24"/>
    <x v="0"/>
    <x v="2"/>
    <x v="1"/>
    <x v="1"/>
    <x v="86"/>
    <x v="89"/>
    <x v="1"/>
    <x v="0"/>
  </r>
  <r>
    <x v="90"/>
    <x v="4"/>
    <x v="1"/>
    <x v="2"/>
    <x v="4"/>
    <x v="1"/>
    <x v="87"/>
    <x v="90"/>
    <x v="0"/>
    <x v="2"/>
  </r>
  <r>
    <x v="91"/>
    <x v="45"/>
    <x v="0"/>
    <x v="2"/>
    <x v="2"/>
    <x v="1"/>
    <x v="88"/>
    <x v="91"/>
    <x v="1"/>
    <x v="5"/>
  </r>
  <r>
    <x v="92"/>
    <x v="67"/>
    <x v="2"/>
    <x v="2"/>
    <x v="0"/>
    <x v="1"/>
    <x v="89"/>
    <x v="92"/>
    <x v="0"/>
    <x v="7"/>
  </r>
  <r>
    <x v="93"/>
    <x v="1"/>
    <x v="1"/>
    <x v="0"/>
    <x v="0"/>
    <x v="1"/>
    <x v="90"/>
    <x v="93"/>
    <x v="0"/>
    <x v="1"/>
  </r>
  <r>
    <x v="94"/>
    <x v="68"/>
    <x v="1"/>
    <x v="1"/>
    <x v="2"/>
    <x v="1"/>
    <x v="91"/>
    <x v="94"/>
    <x v="1"/>
    <x v="4"/>
  </r>
  <r>
    <x v="95"/>
    <x v="69"/>
    <x v="0"/>
    <x v="3"/>
    <x v="3"/>
    <x v="1"/>
    <x v="92"/>
    <x v="95"/>
    <x v="1"/>
    <x v="10"/>
  </r>
  <r>
    <x v="96"/>
    <x v="70"/>
    <x v="1"/>
    <x v="0"/>
    <x v="1"/>
    <x v="1"/>
    <x v="93"/>
    <x v="96"/>
    <x v="0"/>
    <x v="4"/>
  </r>
  <r>
    <x v="97"/>
    <x v="71"/>
    <x v="0"/>
    <x v="3"/>
    <x v="5"/>
    <x v="1"/>
    <x v="40"/>
    <x v="97"/>
    <x v="1"/>
    <x v="4"/>
  </r>
  <r>
    <x v="98"/>
    <x v="35"/>
    <x v="0"/>
    <x v="2"/>
    <x v="0"/>
    <x v="0"/>
    <x v="94"/>
    <x v="98"/>
    <x v="0"/>
    <x v="2"/>
  </r>
  <r>
    <x v="99"/>
    <x v="72"/>
    <x v="1"/>
    <x v="1"/>
    <x v="4"/>
    <x v="1"/>
    <x v="95"/>
    <x v="99"/>
    <x v="1"/>
    <x v="5"/>
  </r>
  <r>
    <x v="100"/>
    <x v="73"/>
    <x v="1"/>
    <x v="0"/>
    <x v="4"/>
    <x v="1"/>
    <x v="96"/>
    <x v="100"/>
    <x v="1"/>
    <x v="7"/>
  </r>
  <r>
    <x v="101"/>
    <x v="74"/>
    <x v="0"/>
    <x v="3"/>
    <x v="5"/>
    <x v="1"/>
    <x v="97"/>
    <x v="101"/>
    <x v="0"/>
    <x v="1"/>
  </r>
  <r>
    <x v="102"/>
    <x v="75"/>
    <x v="1"/>
    <x v="3"/>
    <x v="4"/>
    <x v="1"/>
    <x v="98"/>
    <x v="102"/>
    <x v="0"/>
    <x v="8"/>
  </r>
  <r>
    <x v="103"/>
    <x v="12"/>
    <x v="1"/>
    <x v="0"/>
    <x v="3"/>
    <x v="0"/>
    <x v="99"/>
    <x v="103"/>
    <x v="0"/>
    <x v="2"/>
  </r>
  <r>
    <x v="104"/>
    <x v="18"/>
    <x v="2"/>
    <x v="3"/>
    <x v="5"/>
    <x v="1"/>
    <x v="100"/>
    <x v="104"/>
    <x v="2"/>
    <x v="11"/>
  </r>
  <r>
    <x v="105"/>
    <x v="49"/>
    <x v="1"/>
    <x v="3"/>
    <x v="4"/>
    <x v="1"/>
    <x v="15"/>
    <x v="105"/>
    <x v="0"/>
    <x v="5"/>
  </r>
  <r>
    <x v="106"/>
    <x v="76"/>
    <x v="0"/>
    <x v="0"/>
    <x v="3"/>
    <x v="1"/>
    <x v="101"/>
    <x v="106"/>
    <x v="0"/>
    <x v="6"/>
  </r>
  <r>
    <x v="107"/>
    <x v="77"/>
    <x v="0"/>
    <x v="1"/>
    <x v="4"/>
    <x v="1"/>
    <x v="102"/>
    <x v="107"/>
    <x v="0"/>
    <x v="8"/>
  </r>
  <r>
    <x v="108"/>
    <x v="38"/>
    <x v="1"/>
    <x v="0"/>
    <x v="1"/>
    <x v="1"/>
    <x v="103"/>
    <x v="108"/>
    <x v="1"/>
    <x v="1"/>
  </r>
  <r>
    <x v="109"/>
    <x v="78"/>
    <x v="2"/>
    <x v="0"/>
    <x v="5"/>
    <x v="1"/>
    <x v="104"/>
    <x v="109"/>
    <x v="1"/>
    <x v="8"/>
  </r>
  <r>
    <x v="110"/>
    <x v="8"/>
    <x v="1"/>
    <x v="1"/>
    <x v="4"/>
    <x v="1"/>
    <x v="105"/>
    <x v="110"/>
    <x v="0"/>
    <x v="7"/>
  </r>
  <r>
    <x v="111"/>
    <x v="60"/>
    <x v="1"/>
    <x v="3"/>
    <x v="4"/>
    <x v="0"/>
    <x v="106"/>
    <x v="111"/>
    <x v="0"/>
    <x v="8"/>
  </r>
  <r>
    <x v="112"/>
    <x v="46"/>
    <x v="2"/>
    <x v="0"/>
    <x v="3"/>
    <x v="1"/>
    <x v="107"/>
    <x v="112"/>
    <x v="0"/>
    <x v="7"/>
  </r>
  <r>
    <x v="113"/>
    <x v="79"/>
    <x v="1"/>
    <x v="3"/>
    <x v="1"/>
    <x v="1"/>
    <x v="108"/>
    <x v="113"/>
    <x v="1"/>
    <x v="9"/>
  </r>
  <r>
    <x v="114"/>
    <x v="80"/>
    <x v="0"/>
    <x v="3"/>
    <x v="1"/>
    <x v="0"/>
    <x v="109"/>
    <x v="114"/>
    <x v="1"/>
    <x v="0"/>
  </r>
  <r>
    <x v="115"/>
    <x v="81"/>
    <x v="2"/>
    <x v="3"/>
    <x v="3"/>
    <x v="1"/>
    <x v="110"/>
    <x v="115"/>
    <x v="1"/>
    <x v="10"/>
  </r>
  <r>
    <x v="116"/>
    <x v="82"/>
    <x v="2"/>
    <x v="0"/>
    <x v="1"/>
    <x v="1"/>
    <x v="111"/>
    <x v="116"/>
    <x v="0"/>
    <x v="0"/>
  </r>
  <r>
    <x v="117"/>
    <x v="52"/>
    <x v="0"/>
    <x v="1"/>
    <x v="2"/>
    <x v="1"/>
    <x v="112"/>
    <x v="117"/>
    <x v="0"/>
    <x v="1"/>
  </r>
  <r>
    <x v="118"/>
    <x v="26"/>
    <x v="1"/>
    <x v="2"/>
    <x v="4"/>
    <x v="0"/>
    <x v="113"/>
    <x v="118"/>
    <x v="0"/>
    <x v="8"/>
  </r>
  <r>
    <x v="119"/>
    <x v="83"/>
    <x v="1"/>
    <x v="1"/>
    <x v="4"/>
    <x v="1"/>
    <x v="81"/>
    <x v="119"/>
    <x v="1"/>
    <x v="1"/>
  </r>
  <r>
    <x v="120"/>
    <x v="33"/>
    <x v="2"/>
    <x v="0"/>
    <x v="1"/>
    <x v="1"/>
    <x v="114"/>
    <x v="120"/>
    <x v="0"/>
    <x v="4"/>
  </r>
  <r>
    <x v="121"/>
    <x v="84"/>
    <x v="0"/>
    <x v="1"/>
    <x v="4"/>
    <x v="1"/>
    <x v="115"/>
    <x v="121"/>
    <x v="0"/>
    <x v="0"/>
  </r>
  <r>
    <x v="122"/>
    <x v="3"/>
    <x v="2"/>
    <x v="2"/>
    <x v="1"/>
    <x v="1"/>
    <x v="116"/>
    <x v="122"/>
    <x v="0"/>
    <x v="6"/>
  </r>
  <r>
    <x v="123"/>
    <x v="85"/>
    <x v="1"/>
    <x v="1"/>
    <x v="3"/>
    <x v="1"/>
    <x v="117"/>
    <x v="123"/>
    <x v="0"/>
    <x v="1"/>
  </r>
  <r>
    <x v="124"/>
    <x v="86"/>
    <x v="1"/>
    <x v="0"/>
    <x v="5"/>
    <x v="1"/>
    <x v="54"/>
    <x v="124"/>
    <x v="1"/>
    <x v="4"/>
  </r>
  <r>
    <x v="125"/>
    <x v="87"/>
    <x v="0"/>
    <x v="3"/>
    <x v="3"/>
    <x v="1"/>
    <x v="118"/>
    <x v="125"/>
    <x v="0"/>
    <x v="7"/>
  </r>
  <r>
    <x v="126"/>
    <x v="88"/>
    <x v="2"/>
    <x v="2"/>
    <x v="5"/>
    <x v="1"/>
    <x v="119"/>
    <x v="126"/>
    <x v="1"/>
    <x v="5"/>
  </r>
  <r>
    <x v="127"/>
    <x v="89"/>
    <x v="2"/>
    <x v="1"/>
    <x v="2"/>
    <x v="1"/>
    <x v="6"/>
    <x v="127"/>
    <x v="1"/>
    <x v="0"/>
  </r>
  <r>
    <x v="128"/>
    <x v="44"/>
    <x v="1"/>
    <x v="0"/>
    <x v="3"/>
    <x v="1"/>
    <x v="120"/>
    <x v="128"/>
    <x v="0"/>
    <x v="3"/>
  </r>
  <r>
    <x v="129"/>
    <x v="10"/>
    <x v="0"/>
    <x v="2"/>
    <x v="0"/>
    <x v="1"/>
    <x v="121"/>
    <x v="129"/>
    <x v="0"/>
    <x v="5"/>
  </r>
  <r>
    <x v="130"/>
    <x v="90"/>
    <x v="1"/>
    <x v="2"/>
    <x v="2"/>
    <x v="0"/>
    <x v="122"/>
    <x v="130"/>
    <x v="1"/>
    <x v="0"/>
  </r>
  <r>
    <x v="131"/>
    <x v="91"/>
    <x v="0"/>
    <x v="1"/>
    <x v="4"/>
    <x v="0"/>
    <x v="123"/>
    <x v="131"/>
    <x v="1"/>
    <x v="2"/>
  </r>
  <r>
    <x v="132"/>
    <x v="75"/>
    <x v="1"/>
    <x v="0"/>
    <x v="3"/>
    <x v="1"/>
    <x v="124"/>
    <x v="132"/>
    <x v="1"/>
    <x v="2"/>
  </r>
  <r>
    <x v="133"/>
    <x v="15"/>
    <x v="1"/>
    <x v="0"/>
    <x v="5"/>
    <x v="1"/>
    <x v="125"/>
    <x v="133"/>
    <x v="0"/>
    <x v="4"/>
  </r>
  <r>
    <x v="134"/>
    <x v="92"/>
    <x v="0"/>
    <x v="2"/>
    <x v="1"/>
    <x v="0"/>
    <x v="111"/>
    <x v="134"/>
    <x v="0"/>
    <x v="0"/>
  </r>
  <r>
    <x v="135"/>
    <x v="12"/>
    <x v="1"/>
    <x v="2"/>
    <x v="1"/>
    <x v="1"/>
    <x v="126"/>
    <x v="135"/>
    <x v="1"/>
    <x v="10"/>
  </r>
  <r>
    <x v="136"/>
    <x v="55"/>
    <x v="0"/>
    <x v="3"/>
    <x v="3"/>
    <x v="1"/>
    <x v="127"/>
    <x v="136"/>
    <x v="1"/>
    <x v="3"/>
  </r>
  <r>
    <x v="137"/>
    <x v="35"/>
    <x v="2"/>
    <x v="1"/>
    <x v="3"/>
    <x v="1"/>
    <x v="128"/>
    <x v="137"/>
    <x v="1"/>
    <x v="6"/>
  </r>
  <r>
    <x v="138"/>
    <x v="86"/>
    <x v="0"/>
    <x v="3"/>
    <x v="2"/>
    <x v="1"/>
    <x v="129"/>
    <x v="138"/>
    <x v="1"/>
    <x v="4"/>
  </r>
  <r>
    <x v="139"/>
    <x v="32"/>
    <x v="0"/>
    <x v="2"/>
    <x v="3"/>
    <x v="1"/>
    <x v="130"/>
    <x v="139"/>
    <x v="1"/>
    <x v="3"/>
  </r>
  <r>
    <x v="140"/>
    <x v="39"/>
    <x v="1"/>
    <x v="2"/>
    <x v="1"/>
    <x v="1"/>
    <x v="131"/>
    <x v="140"/>
    <x v="1"/>
    <x v="1"/>
  </r>
  <r>
    <x v="141"/>
    <x v="30"/>
    <x v="1"/>
    <x v="0"/>
    <x v="0"/>
    <x v="1"/>
    <x v="57"/>
    <x v="141"/>
    <x v="1"/>
    <x v="2"/>
  </r>
  <r>
    <x v="142"/>
    <x v="24"/>
    <x v="1"/>
    <x v="0"/>
    <x v="3"/>
    <x v="1"/>
    <x v="132"/>
    <x v="142"/>
    <x v="0"/>
    <x v="6"/>
  </r>
  <r>
    <x v="143"/>
    <x v="90"/>
    <x v="0"/>
    <x v="3"/>
    <x v="1"/>
    <x v="1"/>
    <x v="133"/>
    <x v="143"/>
    <x v="1"/>
    <x v="1"/>
  </r>
  <r>
    <x v="144"/>
    <x v="93"/>
    <x v="1"/>
    <x v="2"/>
    <x v="1"/>
    <x v="0"/>
    <x v="134"/>
    <x v="144"/>
    <x v="1"/>
    <x v="2"/>
  </r>
  <r>
    <x v="145"/>
    <x v="68"/>
    <x v="1"/>
    <x v="1"/>
    <x v="3"/>
    <x v="1"/>
    <x v="130"/>
    <x v="145"/>
    <x v="1"/>
    <x v="3"/>
  </r>
  <r>
    <x v="146"/>
    <x v="94"/>
    <x v="2"/>
    <x v="0"/>
    <x v="2"/>
    <x v="1"/>
    <x v="135"/>
    <x v="146"/>
    <x v="0"/>
    <x v="9"/>
  </r>
  <r>
    <x v="147"/>
    <x v="54"/>
    <x v="2"/>
    <x v="0"/>
    <x v="5"/>
    <x v="0"/>
    <x v="136"/>
    <x v="147"/>
    <x v="0"/>
    <x v="5"/>
  </r>
  <r>
    <x v="148"/>
    <x v="10"/>
    <x v="0"/>
    <x v="2"/>
    <x v="5"/>
    <x v="1"/>
    <x v="137"/>
    <x v="148"/>
    <x v="0"/>
    <x v="3"/>
  </r>
  <r>
    <x v="149"/>
    <x v="5"/>
    <x v="0"/>
    <x v="1"/>
    <x v="2"/>
    <x v="1"/>
    <x v="138"/>
    <x v="149"/>
    <x v="0"/>
    <x v="0"/>
  </r>
  <r>
    <x v="150"/>
    <x v="72"/>
    <x v="2"/>
    <x v="3"/>
    <x v="4"/>
    <x v="1"/>
    <x v="80"/>
    <x v="150"/>
    <x v="0"/>
    <x v="6"/>
  </r>
  <r>
    <x v="151"/>
    <x v="48"/>
    <x v="0"/>
    <x v="1"/>
    <x v="1"/>
    <x v="1"/>
    <x v="139"/>
    <x v="151"/>
    <x v="0"/>
    <x v="4"/>
  </r>
  <r>
    <x v="152"/>
    <x v="47"/>
    <x v="0"/>
    <x v="2"/>
    <x v="4"/>
    <x v="1"/>
    <x v="140"/>
    <x v="152"/>
    <x v="0"/>
    <x v="7"/>
  </r>
  <r>
    <x v="153"/>
    <x v="22"/>
    <x v="2"/>
    <x v="1"/>
    <x v="4"/>
    <x v="1"/>
    <x v="55"/>
    <x v="153"/>
    <x v="0"/>
    <x v="11"/>
  </r>
  <r>
    <x v="154"/>
    <x v="88"/>
    <x v="2"/>
    <x v="1"/>
    <x v="5"/>
    <x v="0"/>
    <x v="141"/>
    <x v="154"/>
    <x v="0"/>
    <x v="9"/>
  </r>
  <r>
    <x v="155"/>
    <x v="35"/>
    <x v="0"/>
    <x v="2"/>
    <x v="5"/>
    <x v="1"/>
    <x v="142"/>
    <x v="155"/>
    <x v="1"/>
    <x v="7"/>
  </r>
  <r>
    <x v="156"/>
    <x v="95"/>
    <x v="0"/>
    <x v="3"/>
    <x v="0"/>
    <x v="1"/>
    <x v="143"/>
    <x v="156"/>
    <x v="1"/>
    <x v="3"/>
  </r>
  <r>
    <x v="157"/>
    <x v="49"/>
    <x v="1"/>
    <x v="1"/>
    <x v="1"/>
    <x v="1"/>
    <x v="98"/>
    <x v="157"/>
    <x v="0"/>
    <x v="8"/>
  </r>
  <r>
    <x v="158"/>
    <x v="0"/>
    <x v="0"/>
    <x v="2"/>
    <x v="0"/>
    <x v="1"/>
    <x v="144"/>
    <x v="158"/>
    <x v="1"/>
    <x v="9"/>
  </r>
  <r>
    <x v="159"/>
    <x v="96"/>
    <x v="1"/>
    <x v="1"/>
    <x v="2"/>
    <x v="1"/>
    <x v="145"/>
    <x v="159"/>
    <x v="0"/>
    <x v="7"/>
  </r>
  <r>
    <x v="160"/>
    <x v="36"/>
    <x v="2"/>
    <x v="2"/>
    <x v="3"/>
    <x v="1"/>
    <x v="146"/>
    <x v="160"/>
    <x v="1"/>
    <x v="10"/>
  </r>
  <r>
    <x v="161"/>
    <x v="95"/>
    <x v="2"/>
    <x v="3"/>
    <x v="0"/>
    <x v="1"/>
    <x v="147"/>
    <x v="161"/>
    <x v="1"/>
    <x v="8"/>
  </r>
  <r>
    <x v="162"/>
    <x v="52"/>
    <x v="2"/>
    <x v="0"/>
    <x v="3"/>
    <x v="1"/>
    <x v="1"/>
    <x v="162"/>
    <x v="1"/>
    <x v="1"/>
  </r>
  <r>
    <x v="163"/>
    <x v="97"/>
    <x v="2"/>
    <x v="3"/>
    <x v="4"/>
    <x v="1"/>
    <x v="148"/>
    <x v="163"/>
    <x v="0"/>
    <x v="5"/>
  </r>
  <r>
    <x v="164"/>
    <x v="20"/>
    <x v="0"/>
    <x v="0"/>
    <x v="1"/>
    <x v="1"/>
    <x v="149"/>
    <x v="164"/>
    <x v="0"/>
    <x v="6"/>
  </r>
  <r>
    <x v="165"/>
    <x v="11"/>
    <x v="0"/>
    <x v="0"/>
    <x v="2"/>
    <x v="1"/>
    <x v="150"/>
    <x v="165"/>
    <x v="1"/>
    <x v="10"/>
  </r>
  <r>
    <x v="166"/>
    <x v="98"/>
    <x v="1"/>
    <x v="1"/>
    <x v="0"/>
    <x v="1"/>
    <x v="87"/>
    <x v="166"/>
    <x v="0"/>
    <x v="2"/>
  </r>
  <r>
    <x v="167"/>
    <x v="99"/>
    <x v="2"/>
    <x v="2"/>
    <x v="1"/>
    <x v="1"/>
    <x v="151"/>
    <x v="167"/>
    <x v="0"/>
    <x v="5"/>
  </r>
  <r>
    <x v="168"/>
    <x v="59"/>
    <x v="0"/>
    <x v="2"/>
    <x v="2"/>
    <x v="1"/>
    <x v="152"/>
    <x v="168"/>
    <x v="1"/>
    <x v="10"/>
  </r>
  <r>
    <x v="169"/>
    <x v="30"/>
    <x v="1"/>
    <x v="2"/>
    <x v="4"/>
    <x v="1"/>
    <x v="18"/>
    <x v="169"/>
    <x v="0"/>
    <x v="8"/>
  </r>
  <r>
    <x v="170"/>
    <x v="43"/>
    <x v="1"/>
    <x v="3"/>
    <x v="4"/>
    <x v="1"/>
    <x v="62"/>
    <x v="170"/>
    <x v="0"/>
    <x v="1"/>
  </r>
  <r>
    <x v="171"/>
    <x v="100"/>
    <x v="1"/>
    <x v="3"/>
    <x v="4"/>
    <x v="1"/>
    <x v="153"/>
    <x v="171"/>
    <x v="0"/>
    <x v="3"/>
  </r>
  <r>
    <x v="172"/>
    <x v="0"/>
    <x v="2"/>
    <x v="3"/>
    <x v="4"/>
    <x v="1"/>
    <x v="154"/>
    <x v="172"/>
    <x v="0"/>
    <x v="8"/>
  </r>
  <r>
    <x v="173"/>
    <x v="71"/>
    <x v="1"/>
    <x v="3"/>
    <x v="5"/>
    <x v="1"/>
    <x v="155"/>
    <x v="173"/>
    <x v="0"/>
    <x v="11"/>
  </r>
  <r>
    <x v="174"/>
    <x v="60"/>
    <x v="2"/>
    <x v="1"/>
    <x v="5"/>
    <x v="1"/>
    <x v="156"/>
    <x v="174"/>
    <x v="1"/>
    <x v="3"/>
  </r>
  <r>
    <x v="175"/>
    <x v="95"/>
    <x v="1"/>
    <x v="1"/>
    <x v="4"/>
    <x v="1"/>
    <x v="157"/>
    <x v="175"/>
    <x v="0"/>
    <x v="7"/>
  </r>
  <r>
    <x v="176"/>
    <x v="35"/>
    <x v="1"/>
    <x v="0"/>
    <x v="4"/>
    <x v="1"/>
    <x v="158"/>
    <x v="176"/>
    <x v="1"/>
    <x v="7"/>
  </r>
  <r>
    <x v="177"/>
    <x v="39"/>
    <x v="1"/>
    <x v="0"/>
    <x v="0"/>
    <x v="1"/>
    <x v="159"/>
    <x v="177"/>
    <x v="0"/>
    <x v="4"/>
  </r>
  <r>
    <x v="178"/>
    <x v="101"/>
    <x v="0"/>
    <x v="2"/>
    <x v="1"/>
    <x v="1"/>
    <x v="160"/>
    <x v="178"/>
    <x v="1"/>
    <x v="3"/>
  </r>
  <r>
    <x v="179"/>
    <x v="11"/>
    <x v="2"/>
    <x v="3"/>
    <x v="0"/>
    <x v="1"/>
    <x v="146"/>
    <x v="179"/>
    <x v="1"/>
    <x v="10"/>
  </r>
  <r>
    <x v="180"/>
    <x v="47"/>
    <x v="1"/>
    <x v="1"/>
    <x v="4"/>
    <x v="1"/>
    <x v="161"/>
    <x v="180"/>
    <x v="1"/>
    <x v="0"/>
  </r>
  <r>
    <x v="181"/>
    <x v="29"/>
    <x v="2"/>
    <x v="0"/>
    <x v="2"/>
    <x v="1"/>
    <x v="162"/>
    <x v="181"/>
    <x v="1"/>
    <x v="10"/>
  </r>
  <r>
    <x v="182"/>
    <x v="102"/>
    <x v="2"/>
    <x v="2"/>
    <x v="5"/>
    <x v="1"/>
    <x v="163"/>
    <x v="182"/>
    <x v="1"/>
    <x v="9"/>
  </r>
  <r>
    <x v="183"/>
    <x v="103"/>
    <x v="1"/>
    <x v="2"/>
    <x v="3"/>
    <x v="0"/>
    <x v="164"/>
    <x v="183"/>
    <x v="0"/>
    <x v="4"/>
  </r>
  <r>
    <x v="184"/>
    <x v="76"/>
    <x v="1"/>
    <x v="3"/>
    <x v="5"/>
    <x v="1"/>
    <x v="165"/>
    <x v="184"/>
    <x v="1"/>
    <x v="2"/>
  </r>
  <r>
    <x v="185"/>
    <x v="70"/>
    <x v="0"/>
    <x v="3"/>
    <x v="5"/>
    <x v="1"/>
    <x v="166"/>
    <x v="185"/>
    <x v="1"/>
    <x v="2"/>
  </r>
  <r>
    <x v="186"/>
    <x v="62"/>
    <x v="1"/>
    <x v="2"/>
    <x v="2"/>
    <x v="1"/>
    <x v="167"/>
    <x v="186"/>
    <x v="1"/>
    <x v="9"/>
  </r>
  <r>
    <x v="187"/>
    <x v="27"/>
    <x v="2"/>
    <x v="3"/>
    <x v="2"/>
    <x v="1"/>
    <x v="168"/>
    <x v="187"/>
    <x v="0"/>
    <x v="4"/>
  </r>
  <r>
    <x v="188"/>
    <x v="87"/>
    <x v="2"/>
    <x v="3"/>
    <x v="5"/>
    <x v="1"/>
    <x v="169"/>
    <x v="188"/>
    <x v="0"/>
    <x v="8"/>
  </r>
  <r>
    <x v="189"/>
    <x v="44"/>
    <x v="0"/>
    <x v="0"/>
    <x v="3"/>
    <x v="1"/>
    <x v="81"/>
    <x v="189"/>
    <x v="1"/>
    <x v="1"/>
  </r>
  <r>
    <x v="190"/>
    <x v="104"/>
    <x v="1"/>
    <x v="0"/>
    <x v="4"/>
    <x v="1"/>
    <x v="65"/>
    <x v="190"/>
    <x v="1"/>
    <x v="1"/>
  </r>
  <r>
    <x v="191"/>
    <x v="79"/>
    <x v="2"/>
    <x v="0"/>
    <x v="4"/>
    <x v="1"/>
    <x v="139"/>
    <x v="191"/>
    <x v="0"/>
    <x v="4"/>
  </r>
  <r>
    <x v="192"/>
    <x v="105"/>
    <x v="2"/>
    <x v="1"/>
    <x v="4"/>
    <x v="1"/>
    <x v="170"/>
    <x v="192"/>
    <x v="0"/>
    <x v="0"/>
  </r>
  <r>
    <x v="193"/>
    <x v="94"/>
    <x v="2"/>
    <x v="3"/>
    <x v="2"/>
    <x v="1"/>
    <x v="43"/>
    <x v="193"/>
    <x v="1"/>
    <x v="7"/>
  </r>
  <r>
    <x v="194"/>
    <x v="34"/>
    <x v="2"/>
    <x v="0"/>
    <x v="5"/>
    <x v="1"/>
    <x v="171"/>
    <x v="194"/>
    <x v="0"/>
    <x v="9"/>
  </r>
  <r>
    <x v="195"/>
    <x v="98"/>
    <x v="2"/>
    <x v="0"/>
    <x v="1"/>
    <x v="1"/>
    <x v="50"/>
    <x v="195"/>
    <x v="0"/>
    <x v="7"/>
  </r>
  <r>
    <x v="196"/>
    <x v="33"/>
    <x v="1"/>
    <x v="2"/>
    <x v="2"/>
    <x v="1"/>
    <x v="172"/>
    <x v="196"/>
    <x v="1"/>
    <x v="4"/>
  </r>
  <r>
    <x v="197"/>
    <x v="106"/>
    <x v="0"/>
    <x v="0"/>
    <x v="1"/>
    <x v="1"/>
    <x v="62"/>
    <x v="197"/>
    <x v="0"/>
    <x v="1"/>
  </r>
  <r>
    <x v="198"/>
    <x v="10"/>
    <x v="1"/>
    <x v="2"/>
    <x v="0"/>
    <x v="1"/>
    <x v="62"/>
    <x v="198"/>
    <x v="0"/>
    <x v="1"/>
  </r>
  <r>
    <x v="199"/>
    <x v="29"/>
    <x v="0"/>
    <x v="3"/>
    <x v="1"/>
    <x v="0"/>
    <x v="153"/>
    <x v="199"/>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127AE1-A136-4F4B-96D8-58DB9CF1C01F}" name="PivotTable4" cacheId="2"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chartFormat="36">
  <location ref="A47:B55" firstHeaderRow="2" firstDataRow="2" firstDataCol="1"/>
  <pivotFields count="10">
    <pivotField compact="0" outline="0" showAll="0" includeNewItemsInFilter="1"/>
    <pivotField compact="0" outline="0" showAll="0" includeNewItemsInFilter="1"/>
    <pivotField compact="0" outline="0" showAll="0" includeNewItemsInFilter="1">
      <items count="4">
        <item x="1"/>
        <item x="0"/>
        <item x="2"/>
        <item t="default"/>
      </items>
    </pivotField>
    <pivotField compact="0" outline="0" showAll="0" includeNewItemsInFilter="1">
      <items count="5">
        <item x="2"/>
        <item x="1"/>
        <item x="3"/>
        <item x="0"/>
        <item t="default"/>
      </items>
    </pivotField>
    <pivotField axis="axisRow" dataField="1" compact="0" outline="0" showAll="0" includeNewItemsInFilter="1">
      <items count="7">
        <item x="4"/>
        <item x="2"/>
        <item x="5"/>
        <item x="3"/>
        <item x="0"/>
        <item x="1"/>
        <item t="default"/>
      </items>
    </pivotField>
    <pivotField compact="0" outline="0" showAll="0" includeNewItemsInFilter="1">
      <items count="3">
        <item x="1"/>
        <item x="0"/>
        <item t="default"/>
      </items>
    </pivotField>
    <pivotField compact="0" numFmtId="14" outline="0" showAll="0" includeNewItemsInFilter="1">
      <items count="174">
        <item x="155"/>
        <item x="74"/>
        <item x="55"/>
        <item x="79"/>
        <item x="36"/>
        <item x="67"/>
        <item x="38"/>
        <item x="47"/>
        <item x="115"/>
        <item x="4"/>
        <item x="20"/>
        <item x="0"/>
        <item x="111"/>
        <item x="138"/>
        <item x="170"/>
        <item x="148"/>
        <item x="53"/>
        <item x="136"/>
        <item x="121"/>
        <item x="151"/>
        <item x="15"/>
        <item x="24"/>
        <item x="8"/>
        <item x="50"/>
        <item x="140"/>
        <item x="107"/>
        <item x="105"/>
        <item x="48"/>
        <item x="157"/>
        <item x="118"/>
        <item x="145"/>
        <item x="89"/>
        <item x="39"/>
        <item x="141"/>
        <item x="30"/>
        <item x="35"/>
        <item x="135"/>
        <item x="171"/>
        <item x="82"/>
        <item x="76"/>
        <item x="62"/>
        <item x="90"/>
        <item x="117"/>
        <item x="10"/>
        <item x="84"/>
        <item x="78"/>
        <item x="97"/>
        <item x="112"/>
        <item x="56"/>
        <item x="168"/>
        <item x="93"/>
        <item x="159"/>
        <item x="139"/>
        <item x="114"/>
        <item x="125"/>
        <item x="11"/>
        <item x="164"/>
        <item x="101"/>
        <item x="45"/>
        <item x="116"/>
        <item x="149"/>
        <item x="80"/>
        <item x="59"/>
        <item x="132"/>
        <item x="73"/>
        <item x="14"/>
        <item x="37"/>
        <item x="2"/>
        <item x="87"/>
        <item x="99"/>
        <item x="94"/>
        <item x="64"/>
        <item x="75"/>
        <item x="25"/>
        <item x="153"/>
        <item x="120"/>
        <item x="32"/>
        <item x="3"/>
        <item x="137"/>
        <item x="113"/>
        <item x="169"/>
        <item x="102"/>
        <item x="68"/>
        <item x="41"/>
        <item x="154"/>
        <item x="98"/>
        <item x="106"/>
        <item x="18"/>
        <item x="69"/>
        <item x="52"/>
        <item x="85"/>
        <item x="63"/>
        <item x="49"/>
        <item x="26"/>
        <item x="86"/>
        <item x="6"/>
        <item x="122"/>
        <item x="109"/>
        <item x="61"/>
        <item x="5"/>
        <item x="161"/>
        <item x="16"/>
        <item x="95"/>
        <item x="77"/>
        <item x="119"/>
        <item x="29"/>
        <item x="88"/>
        <item x="158"/>
        <item x="96"/>
        <item x="142"/>
        <item x="13"/>
        <item x="71"/>
        <item x="43"/>
        <item x="33"/>
        <item x="108"/>
        <item x="23"/>
        <item x="60"/>
        <item x="167"/>
        <item x="144"/>
        <item x="21"/>
        <item x="163"/>
        <item x="1"/>
        <item x="131"/>
        <item x="17"/>
        <item x="65"/>
        <item x="133"/>
        <item x="81"/>
        <item x="83"/>
        <item x="103"/>
        <item x="172"/>
        <item x="129"/>
        <item x="28"/>
        <item x="91"/>
        <item x="7"/>
        <item x="44"/>
        <item x="40"/>
        <item x="54"/>
        <item x="70"/>
        <item x="128"/>
        <item x="58"/>
        <item x="12"/>
        <item x="31"/>
        <item x="22"/>
        <item x="123"/>
        <item x="57"/>
        <item x="166"/>
        <item x="134"/>
        <item x="165"/>
        <item x="124"/>
        <item x="46"/>
        <item x="42"/>
        <item x="150"/>
        <item x="162"/>
        <item x="146"/>
        <item x="92"/>
        <item x="126"/>
        <item x="110"/>
        <item x="152"/>
        <item x="51"/>
        <item x="156"/>
        <item x="19"/>
        <item x="143"/>
        <item x="127"/>
        <item x="9"/>
        <item x="160"/>
        <item x="72"/>
        <item x="130"/>
        <item x="66"/>
        <item x="104"/>
        <item x="27"/>
        <item x="147"/>
        <item x="34"/>
        <item x="100"/>
        <item t="default"/>
      </items>
    </pivotField>
    <pivotField compact="0" outline="0" showAll="0" includeNewItemsInFilter="1">
      <items count="201">
        <item x="34"/>
        <item x="41"/>
        <item x="91"/>
        <item x="174"/>
        <item x="37"/>
        <item x="192"/>
        <item x="46"/>
        <item x="180"/>
        <item x="156"/>
        <item x="35"/>
        <item x="80"/>
        <item x="55"/>
        <item x="96"/>
        <item x="196"/>
        <item x="163"/>
        <item x="121"/>
        <item h="1" x="105"/>
        <item x="93"/>
        <item x="170"/>
        <item x="84"/>
        <item x="199"/>
        <item x="142"/>
        <item x="72"/>
        <item x="83"/>
        <item x="118"/>
        <item x="125"/>
        <item x="168"/>
        <item x="147"/>
        <item x="110"/>
        <item x="67"/>
        <item x="54"/>
        <item x="78"/>
        <item x="5"/>
        <item x="0"/>
        <item x="176"/>
        <item x="169"/>
        <item x="148"/>
        <item x="89"/>
        <item x="129"/>
        <item x="116"/>
        <item x="130"/>
        <item x="39"/>
        <item x="59"/>
        <item x="191"/>
        <item x="161"/>
        <item x="172"/>
        <item x="115"/>
        <item x="100"/>
        <item x="104"/>
        <item x="53"/>
        <item x="167"/>
        <item x="58"/>
        <item x="12"/>
        <item x="6"/>
        <item x="158"/>
        <item x="198"/>
        <item x="75"/>
        <item x="7"/>
        <item x="153"/>
        <item x="137"/>
        <item x="133"/>
        <item x="165"/>
        <item x="185"/>
        <item x="182"/>
        <item x="184"/>
        <item x="26"/>
        <item x="44"/>
        <item x="71"/>
        <item x="103"/>
        <item x="43"/>
        <item x="111"/>
        <item x="90"/>
        <item x="64"/>
        <item x="164"/>
        <item x="23"/>
        <item x="141"/>
        <item x="171"/>
        <item x="140"/>
        <item x="63"/>
        <item x="29"/>
        <item x="197"/>
        <item x="65"/>
        <item x="188"/>
        <item x="124"/>
        <item x="60"/>
        <item x="143"/>
        <item x="47"/>
        <item x="36"/>
        <item x="173"/>
        <item x="113"/>
        <item x="66"/>
        <item x="42"/>
        <item x="79"/>
        <item x="40"/>
        <item x="94"/>
        <item x="157"/>
        <item x="177"/>
        <item x="45"/>
        <item x="16"/>
        <item x="97"/>
        <item x="154"/>
        <item x="145"/>
        <item x="22"/>
        <item x="18"/>
        <item x="73"/>
        <item x="101"/>
        <item x="181"/>
        <item x="85"/>
        <item x="117"/>
        <item x="11"/>
        <item x="175"/>
        <item x="155"/>
        <item x="86"/>
        <item x="152"/>
        <item x="159"/>
        <item x="15"/>
        <item x="57"/>
        <item x="2"/>
        <item x="30"/>
        <item x="151"/>
        <item x="61"/>
        <item x="19"/>
        <item x="166"/>
        <item x="27"/>
        <item x="193"/>
        <item x="82"/>
        <item x="92"/>
        <item x="106"/>
        <item x="114"/>
        <item x="135"/>
        <item x="33"/>
        <item x="126"/>
        <item x="123"/>
        <item x="69"/>
        <item x="9"/>
        <item x="20"/>
        <item x="149"/>
        <item x="88"/>
        <item x="150"/>
        <item x="4"/>
        <item x="144"/>
        <item x="21"/>
        <item x="112"/>
        <item x="87"/>
        <item x="128"/>
        <item x="162"/>
        <item x="160"/>
        <item x="14"/>
        <item x="107"/>
        <item x="32"/>
        <item x="178"/>
        <item x="31"/>
        <item x="3"/>
        <item x="56"/>
        <item x="179"/>
        <item x="119"/>
        <item x="131"/>
        <item x="74"/>
        <item x="190"/>
        <item x="134"/>
        <item x="76"/>
        <item x="127"/>
        <item x="102"/>
        <item x="10"/>
        <item x="109"/>
        <item x="49"/>
        <item x="38"/>
        <item x="187"/>
        <item x="139"/>
        <item x="95"/>
        <item x="195"/>
        <item x="13"/>
        <item x="183"/>
        <item x="98"/>
        <item x="25"/>
        <item x="186"/>
        <item x="122"/>
        <item x="189"/>
        <item x="8"/>
        <item x="17"/>
        <item x="28"/>
        <item x="48"/>
        <item x="50"/>
        <item x="132"/>
        <item x="138"/>
        <item x="24"/>
        <item x="99"/>
        <item x="70"/>
        <item x="68"/>
        <item x="51"/>
        <item x="136"/>
        <item x="120"/>
        <item x="52"/>
        <item x="108"/>
        <item x="146"/>
        <item x="77"/>
        <item x="81"/>
        <item x="1"/>
        <item x="62"/>
        <item x="194"/>
        <item t="default"/>
      </items>
    </pivotField>
    <pivotField compact="0" outline="0" showAll="0" includeNewItemsInFilter="1">
      <items count="4">
        <item x="0"/>
        <item x="1"/>
        <item x="2"/>
        <item t="default"/>
      </items>
    </pivotField>
    <pivotField compact="0" outline="0" showAll="0" includeNewItemsInFilter="1"/>
  </pivotFields>
  <rowFields count="1">
    <field x="4"/>
  </rowFields>
  <rowItems count="7">
    <i>
      <x/>
    </i>
    <i>
      <x v="1"/>
    </i>
    <i>
      <x v="2"/>
    </i>
    <i>
      <x v="3"/>
    </i>
    <i>
      <x v="4"/>
    </i>
    <i>
      <x v="5"/>
    </i>
    <i t="grand">
      <x/>
    </i>
  </rowItems>
  <colItems count="1">
    <i/>
  </colItems>
  <dataFields count="1">
    <dataField name="Count of primary_freight_type" fld="4" subtotal="count" baseField="0" baseItem="0"/>
  </dataFields>
  <chartFormats count="21">
    <chartFormat chart="23" format="0"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4" count="1" selected="0">
            <x v="0"/>
          </reference>
        </references>
      </pivotArea>
    </chartFormat>
    <chartFormat chart="25" format="10">
      <pivotArea type="data" outline="0" fieldPosition="0">
        <references count="2">
          <reference field="4294967294" count="1" selected="0">
            <x v="0"/>
          </reference>
          <reference field="4" count="1" selected="0">
            <x v="1"/>
          </reference>
        </references>
      </pivotArea>
    </chartFormat>
    <chartFormat chart="25" format="11">
      <pivotArea type="data" outline="0" fieldPosition="0">
        <references count="2">
          <reference field="4294967294" count="1" selected="0">
            <x v="0"/>
          </reference>
          <reference field="4" count="1" selected="0">
            <x v="2"/>
          </reference>
        </references>
      </pivotArea>
    </chartFormat>
    <chartFormat chart="25" format="12">
      <pivotArea type="data" outline="0" fieldPosition="0">
        <references count="2">
          <reference field="4294967294" count="1" selected="0">
            <x v="0"/>
          </reference>
          <reference field="4" count="1" selected="0">
            <x v="3"/>
          </reference>
        </references>
      </pivotArea>
    </chartFormat>
    <chartFormat chart="25" format="13">
      <pivotArea type="data" outline="0" fieldPosition="0">
        <references count="2">
          <reference field="4294967294" count="1" selected="0">
            <x v="0"/>
          </reference>
          <reference field="4" count="1" selected="0">
            <x v="4"/>
          </reference>
        </references>
      </pivotArea>
    </chartFormat>
    <chartFormat chart="25" format="14">
      <pivotArea type="data" outline="0" fieldPosition="0">
        <references count="2">
          <reference field="4294967294" count="1" selected="0">
            <x v="0"/>
          </reference>
          <reference field="4" count="1" selected="0">
            <x v="5"/>
          </reference>
        </references>
      </pivotArea>
    </chartFormat>
    <chartFormat chart="23" format="1">
      <pivotArea type="data" outline="0" fieldPosition="0">
        <references count="2">
          <reference field="4294967294" count="1" selected="0">
            <x v="0"/>
          </reference>
          <reference field="4" count="1" selected="0">
            <x v="0"/>
          </reference>
        </references>
      </pivotArea>
    </chartFormat>
    <chartFormat chart="23" format="2">
      <pivotArea type="data" outline="0" fieldPosition="0">
        <references count="2">
          <reference field="4294967294" count="1" selected="0">
            <x v="0"/>
          </reference>
          <reference field="4" count="1" selected="0">
            <x v="1"/>
          </reference>
        </references>
      </pivotArea>
    </chartFormat>
    <chartFormat chart="23" format="3">
      <pivotArea type="data" outline="0" fieldPosition="0">
        <references count="2">
          <reference field="4294967294" count="1" selected="0">
            <x v="0"/>
          </reference>
          <reference field="4" count="1" selected="0">
            <x v="2"/>
          </reference>
        </references>
      </pivotArea>
    </chartFormat>
    <chartFormat chart="23" format="4">
      <pivotArea type="data" outline="0" fieldPosition="0">
        <references count="2">
          <reference field="4294967294" count="1" selected="0">
            <x v="0"/>
          </reference>
          <reference field="4" count="1" selected="0">
            <x v="3"/>
          </reference>
        </references>
      </pivotArea>
    </chartFormat>
    <chartFormat chart="23" format="5">
      <pivotArea type="data" outline="0" fieldPosition="0">
        <references count="2">
          <reference field="4294967294" count="1" selected="0">
            <x v="0"/>
          </reference>
          <reference field="4" count="1" selected="0">
            <x v="4"/>
          </reference>
        </references>
      </pivotArea>
    </chartFormat>
    <chartFormat chart="23" format="6">
      <pivotArea type="data" outline="0" fieldPosition="0">
        <references count="2">
          <reference field="4294967294" count="1" selected="0">
            <x v="0"/>
          </reference>
          <reference field="4" count="1" selected="0">
            <x v="5"/>
          </reference>
        </references>
      </pivotArea>
    </chartFormat>
    <chartFormat chart="29" format="14" series="1">
      <pivotArea type="data" outline="0" fieldPosition="0">
        <references count="1">
          <reference field="4294967294" count="1" selected="0">
            <x v="0"/>
          </reference>
        </references>
      </pivotArea>
    </chartFormat>
    <chartFormat chart="29" format="15">
      <pivotArea type="data" outline="0" fieldPosition="0">
        <references count="2">
          <reference field="4294967294" count="1" selected="0">
            <x v="0"/>
          </reference>
          <reference field="4" count="1" selected="0">
            <x v="0"/>
          </reference>
        </references>
      </pivotArea>
    </chartFormat>
    <chartFormat chart="29" format="16">
      <pivotArea type="data" outline="0" fieldPosition="0">
        <references count="2">
          <reference field="4294967294" count="1" selected="0">
            <x v="0"/>
          </reference>
          <reference field="4" count="1" selected="0">
            <x v="1"/>
          </reference>
        </references>
      </pivotArea>
    </chartFormat>
    <chartFormat chart="29" format="17">
      <pivotArea type="data" outline="0" fieldPosition="0">
        <references count="2">
          <reference field="4294967294" count="1" selected="0">
            <x v="0"/>
          </reference>
          <reference field="4" count="1" selected="0">
            <x v="2"/>
          </reference>
        </references>
      </pivotArea>
    </chartFormat>
    <chartFormat chart="29" format="18">
      <pivotArea type="data" outline="0" fieldPosition="0">
        <references count="2">
          <reference field="4294967294" count="1" selected="0">
            <x v="0"/>
          </reference>
          <reference field="4" count="1" selected="0">
            <x v="3"/>
          </reference>
        </references>
      </pivotArea>
    </chartFormat>
    <chartFormat chart="29" format="19">
      <pivotArea type="data" outline="0" fieldPosition="0">
        <references count="2">
          <reference field="4294967294" count="1" selected="0">
            <x v="0"/>
          </reference>
          <reference field="4" count="1" selected="0">
            <x v="4"/>
          </reference>
        </references>
      </pivotArea>
    </chartFormat>
    <chartFormat chart="29" format="20">
      <pivotArea type="data" outline="0" fieldPosition="0">
        <references count="2">
          <reference field="4294967294" count="1" selected="0">
            <x v="0"/>
          </reference>
          <reference field="4" count="1" selected="0">
            <x v="5"/>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70D099-D8FF-4ADA-BC6E-D9C73C9FFAF2}" name="PivotTable3" cacheId="2"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chartFormat="13">
  <location ref="A34:B38" firstHeaderRow="2" firstDataRow="2" firstDataCol="1"/>
  <pivotFields count="10">
    <pivotField compact="0" outline="0" showAll="0" includeNewItemsInFilter="1"/>
    <pivotField compact="0" outline="0" showAll="0" includeNewItemsInFilter="1"/>
    <pivotField compact="0" outline="0" showAll="0" includeNewItemsInFilter="1">
      <items count="4">
        <item x="1"/>
        <item x="0"/>
        <item x="2"/>
        <item t="default"/>
      </items>
    </pivotField>
    <pivotField compact="0" outline="0" showAll="0" includeNewItemsInFilter="1">
      <items count="5">
        <item x="2"/>
        <item x="1"/>
        <item x="3"/>
        <item x="0"/>
        <item t="default"/>
      </items>
    </pivotField>
    <pivotField compact="0" outline="0" showAll="0" includeNewItemsInFilter="1">
      <items count="7">
        <item x="4"/>
        <item x="2"/>
        <item x="5"/>
        <item x="3"/>
        <item x="0"/>
        <item x="1"/>
        <item t="default"/>
      </items>
    </pivotField>
    <pivotField axis="axisRow" dataField="1" compact="0" outline="0" showAll="0" includeNewItemsInFilter="1">
      <items count="3">
        <item x="1"/>
        <item x="0"/>
        <item t="default"/>
      </items>
    </pivotField>
    <pivotField compact="0" numFmtId="14" outline="0" showAll="0" includeNewItemsInFilter="1">
      <items count="174">
        <item x="155"/>
        <item x="74"/>
        <item x="55"/>
        <item x="79"/>
        <item x="36"/>
        <item x="67"/>
        <item x="38"/>
        <item x="47"/>
        <item x="115"/>
        <item x="4"/>
        <item x="20"/>
        <item x="0"/>
        <item x="111"/>
        <item x="138"/>
        <item x="170"/>
        <item x="148"/>
        <item x="53"/>
        <item x="136"/>
        <item x="121"/>
        <item x="151"/>
        <item x="15"/>
        <item x="24"/>
        <item x="8"/>
        <item x="50"/>
        <item x="140"/>
        <item x="107"/>
        <item x="105"/>
        <item x="48"/>
        <item x="157"/>
        <item x="118"/>
        <item x="145"/>
        <item x="89"/>
        <item x="39"/>
        <item x="141"/>
        <item x="30"/>
        <item x="35"/>
        <item x="135"/>
        <item x="171"/>
        <item x="82"/>
        <item x="76"/>
        <item x="62"/>
        <item x="90"/>
        <item x="117"/>
        <item x="10"/>
        <item x="84"/>
        <item x="78"/>
        <item x="97"/>
        <item x="112"/>
        <item x="56"/>
        <item x="168"/>
        <item x="93"/>
        <item x="159"/>
        <item x="139"/>
        <item x="114"/>
        <item x="125"/>
        <item x="11"/>
        <item x="164"/>
        <item x="101"/>
        <item x="45"/>
        <item x="116"/>
        <item x="149"/>
        <item x="80"/>
        <item x="59"/>
        <item x="132"/>
        <item x="73"/>
        <item x="14"/>
        <item x="37"/>
        <item x="2"/>
        <item x="87"/>
        <item x="99"/>
        <item x="94"/>
        <item x="64"/>
        <item x="75"/>
        <item x="25"/>
        <item x="153"/>
        <item x="120"/>
        <item x="32"/>
        <item x="3"/>
        <item x="137"/>
        <item x="113"/>
        <item x="169"/>
        <item x="102"/>
        <item x="68"/>
        <item x="41"/>
        <item x="154"/>
        <item x="98"/>
        <item x="106"/>
        <item x="18"/>
        <item x="69"/>
        <item x="52"/>
        <item x="85"/>
        <item x="63"/>
        <item x="49"/>
        <item x="26"/>
        <item x="86"/>
        <item x="6"/>
        <item x="122"/>
        <item x="109"/>
        <item x="61"/>
        <item x="5"/>
        <item x="161"/>
        <item x="16"/>
        <item x="95"/>
        <item x="77"/>
        <item x="119"/>
        <item x="29"/>
        <item x="88"/>
        <item x="158"/>
        <item x="96"/>
        <item x="142"/>
        <item x="13"/>
        <item x="71"/>
        <item x="43"/>
        <item x="33"/>
        <item x="108"/>
        <item x="23"/>
        <item x="60"/>
        <item x="167"/>
        <item x="144"/>
        <item x="21"/>
        <item x="163"/>
        <item x="1"/>
        <item x="131"/>
        <item x="17"/>
        <item x="65"/>
        <item x="133"/>
        <item x="81"/>
        <item x="83"/>
        <item x="103"/>
        <item x="172"/>
        <item x="129"/>
        <item x="28"/>
        <item x="91"/>
        <item x="7"/>
        <item x="44"/>
        <item x="40"/>
        <item x="54"/>
        <item x="70"/>
        <item x="128"/>
        <item x="58"/>
        <item x="12"/>
        <item x="31"/>
        <item x="22"/>
        <item x="123"/>
        <item x="57"/>
        <item x="166"/>
        <item x="134"/>
        <item x="165"/>
        <item x="124"/>
        <item x="46"/>
        <item x="42"/>
        <item x="150"/>
        <item x="162"/>
        <item x="146"/>
        <item x="92"/>
        <item x="126"/>
        <item x="110"/>
        <item x="152"/>
        <item x="51"/>
        <item x="156"/>
        <item x="19"/>
        <item x="143"/>
        <item x="127"/>
        <item x="9"/>
        <item x="160"/>
        <item x="72"/>
        <item x="130"/>
        <item x="66"/>
        <item x="104"/>
        <item x="27"/>
        <item x="147"/>
        <item x="34"/>
        <item x="100"/>
        <item t="default"/>
      </items>
    </pivotField>
    <pivotField compact="0" outline="0" showAll="0" includeNewItemsInFilter="1">
      <items count="201">
        <item x="34"/>
        <item x="41"/>
        <item x="91"/>
        <item x="174"/>
        <item x="37"/>
        <item x="192"/>
        <item x="46"/>
        <item x="180"/>
        <item x="156"/>
        <item x="35"/>
        <item x="80"/>
        <item x="55"/>
        <item x="96"/>
        <item x="196"/>
        <item x="163"/>
        <item x="121"/>
        <item h="1" x="105"/>
        <item x="93"/>
        <item x="170"/>
        <item x="84"/>
        <item x="199"/>
        <item x="142"/>
        <item x="72"/>
        <item x="83"/>
        <item x="118"/>
        <item x="125"/>
        <item x="168"/>
        <item x="147"/>
        <item x="110"/>
        <item x="67"/>
        <item x="54"/>
        <item x="78"/>
        <item x="5"/>
        <item x="0"/>
        <item x="176"/>
        <item x="169"/>
        <item x="148"/>
        <item x="89"/>
        <item x="129"/>
        <item x="116"/>
        <item x="130"/>
        <item x="39"/>
        <item x="59"/>
        <item x="191"/>
        <item x="161"/>
        <item x="172"/>
        <item x="115"/>
        <item x="100"/>
        <item x="104"/>
        <item x="53"/>
        <item x="167"/>
        <item x="58"/>
        <item x="12"/>
        <item x="6"/>
        <item x="158"/>
        <item x="198"/>
        <item x="75"/>
        <item x="7"/>
        <item x="153"/>
        <item x="137"/>
        <item x="133"/>
        <item x="165"/>
        <item x="185"/>
        <item x="182"/>
        <item x="184"/>
        <item x="26"/>
        <item x="44"/>
        <item x="71"/>
        <item x="103"/>
        <item x="43"/>
        <item x="111"/>
        <item x="90"/>
        <item x="64"/>
        <item x="164"/>
        <item x="23"/>
        <item x="141"/>
        <item x="171"/>
        <item x="140"/>
        <item x="63"/>
        <item x="29"/>
        <item x="197"/>
        <item x="65"/>
        <item x="188"/>
        <item x="124"/>
        <item x="60"/>
        <item x="143"/>
        <item x="47"/>
        <item x="36"/>
        <item x="173"/>
        <item x="113"/>
        <item x="66"/>
        <item x="42"/>
        <item x="79"/>
        <item x="40"/>
        <item x="94"/>
        <item x="157"/>
        <item x="177"/>
        <item x="45"/>
        <item x="16"/>
        <item x="97"/>
        <item x="154"/>
        <item x="145"/>
        <item x="22"/>
        <item x="18"/>
        <item x="73"/>
        <item x="101"/>
        <item x="181"/>
        <item x="85"/>
        <item x="117"/>
        <item x="11"/>
        <item x="175"/>
        <item x="155"/>
        <item x="86"/>
        <item x="152"/>
        <item x="159"/>
        <item x="15"/>
        <item x="57"/>
        <item x="2"/>
        <item x="30"/>
        <item x="151"/>
        <item x="61"/>
        <item x="19"/>
        <item x="166"/>
        <item x="27"/>
        <item x="193"/>
        <item x="82"/>
        <item x="92"/>
        <item x="106"/>
        <item x="114"/>
        <item x="135"/>
        <item x="33"/>
        <item x="126"/>
        <item x="123"/>
        <item x="69"/>
        <item x="9"/>
        <item x="20"/>
        <item x="149"/>
        <item x="88"/>
        <item x="150"/>
        <item x="4"/>
        <item x="144"/>
        <item x="21"/>
        <item x="112"/>
        <item x="87"/>
        <item x="128"/>
        <item x="162"/>
        <item x="160"/>
        <item x="14"/>
        <item x="107"/>
        <item x="32"/>
        <item x="178"/>
        <item x="31"/>
        <item x="3"/>
        <item x="56"/>
        <item x="179"/>
        <item x="119"/>
        <item x="131"/>
        <item x="74"/>
        <item x="190"/>
        <item x="134"/>
        <item x="76"/>
        <item x="127"/>
        <item x="102"/>
        <item x="10"/>
        <item x="109"/>
        <item x="49"/>
        <item x="38"/>
        <item x="187"/>
        <item x="139"/>
        <item x="95"/>
        <item x="195"/>
        <item x="13"/>
        <item x="183"/>
        <item x="98"/>
        <item x="25"/>
        <item x="186"/>
        <item x="122"/>
        <item x="189"/>
        <item x="8"/>
        <item x="17"/>
        <item x="28"/>
        <item x="48"/>
        <item x="50"/>
        <item x="132"/>
        <item x="138"/>
        <item x="24"/>
        <item x="99"/>
        <item x="70"/>
        <item x="68"/>
        <item x="51"/>
        <item x="136"/>
        <item x="120"/>
        <item x="52"/>
        <item x="108"/>
        <item x="146"/>
        <item x="77"/>
        <item x="81"/>
        <item x="1"/>
        <item x="62"/>
        <item x="194"/>
        <item t="default"/>
      </items>
    </pivotField>
    <pivotField compact="0" outline="0" showAll="0" includeNewItemsInFilter="1">
      <items count="4">
        <item x="0"/>
        <item x="1"/>
        <item x="2"/>
        <item t="default"/>
      </items>
    </pivotField>
    <pivotField compact="0" outline="0" showAll="0" includeNewItemsInFilter="1"/>
  </pivotFields>
  <rowFields count="1">
    <field x="5"/>
  </rowFields>
  <rowItems count="3">
    <i>
      <x/>
    </i>
    <i>
      <x v="1"/>
    </i>
    <i t="grand">
      <x/>
    </i>
  </rowItems>
  <colItems count="1">
    <i/>
  </colItems>
  <dataFields count="1">
    <dataField name="Count of account_status" fld="5" subtotal="count" baseField="0" baseItem="0"/>
  </dataFields>
  <chartFormats count="7">
    <chartFormat chart="1"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5" count="1" selected="0">
            <x v="0"/>
          </reference>
        </references>
      </pivotArea>
    </chartFormat>
    <chartFormat chart="10" format="6">
      <pivotArea type="data" outline="0" fieldPosition="0">
        <references count="2">
          <reference field="4294967294" count="1" selected="0">
            <x v="0"/>
          </reference>
          <reference field="5" count="1" selected="0">
            <x v="1"/>
          </reference>
        </references>
      </pivotArea>
    </chartFormat>
    <chartFormat chart="8" format="1">
      <pivotArea type="data" outline="0" fieldPosition="0">
        <references count="2">
          <reference field="4294967294" count="1" selected="0">
            <x v="0"/>
          </reference>
          <reference field="5" count="1" selected="0">
            <x v="0"/>
          </reference>
        </references>
      </pivotArea>
    </chartFormat>
    <chartFormat chart="8" format="2">
      <pivotArea type="data" outline="0" fieldPosition="0">
        <references count="2">
          <reference field="4294967294" count="1" selected="0">
            <x v="0"/>
          </reference>
          <reference field="5"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561742-2252-4CD7-B0DF-F06A905D714D}" name="PivotTable8" cacheId="2"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chartFormat="26">
  <location ref="A113:G118" firstHeaderRow="2" firstDataRow="2" firstDataCol="1"/>
  <pivotFields count="10">
    <pivotField compact="0" outline="0" showAll="0" includeNewItemsInFilter="1" sortType="ascending">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outline="0" showAll="0" includeNewItemsInFilter="1">
      <items count="108">
        <item x="33"/>
        <item x="11"/>
        <item x="72"/>
        <item x="94"/>
        <item x="97"/>
        <item x="26"/>
        <item x="16"/>
        <item x="24"/>
        <item x="60"/>
        <item x="3"/>
        <item x="4"/>
        <item x="5"/>
        <item x="7"/>
        <item x="27"/>
        <item x="32"/>
        <item x="17"/>
        <item x="37"/>
        <item x="53"/>
        <item x="66"/>
        <item x="78"/>
        <item x="21"/>
        <item x="69"/>
        <item x="52"/>
        <item x="42"/>
        <item x="20"/>
        <item x="28"/>
        <item x="56"/>
        <item x="103"/>
        <item x="13"/>
        <item x="45"/>
        <item x="19"/>
        <item x="30"/>
        <item x="40"/>
        <item x="106"/>
        <item x="18"/>
        <item x="59"/>
        <item x="68"/>
        <item x="10"/>
        <item x="55"/>
        <item x="35"/>
        <item x="34"/>
        <item x="87"/>
        <item x="85"/>
        <item x="36"/>
        <item x="80"/>
        <item x="77"/>
        <item x="99"/>
        <item x="88"/>
        <item x="61"/>
        <item x="38"/>
        <item x="44"/>
        <item x="39"/>
        <item x="95"/>
        <item x="84"/>
        <item x="57"/>
        <item x="62"/>
        <item x="51"/>
        <item x="48"/>
        <item x="50"/>
        <item x="0"/>
        <item x="41"/>
        <item x="90"/>
        <item x="93"/>
        <item x="100"/>
        <item x="9"/>
        <item x="1"/>
        <item x="71"/>
        <item x="70"/>
        <item x="12"/>
        <item x="102"/>
        <item x="104"/>
        <item x="74"/>
        <item x="58"/>
        <item x="64"/>
        <item x="23"/>
        <item x="54"/>
        <item x="65"/>
        <item x="46"/>
        <item x="76"/>
        <item x="81"/>
        <item x="79"/>
        <item x="92"/>
        <item x="105"/>
        <item x="43"/>
        <item x="83"/>
        <item x="6"/>
        <item x="25"/>
        <item x="47"/>
        <item x="82"/>
        <item x="91"/>
        <item x="15"/>
        <item x="73"/>
        <item x="31"/>
        <item x="63"/>
        <item x="67"/>
        <item x="14"/>
        <item x="49"/>
        <item x="75"/>
        <item x="101"/>
        <item x="22"/>
        <item x="29"/>
        <item x="89"/>
        <item x="2"/>
        <item x="98"/>
        <item x="96"/>
        <item x="86"/>
        <item x="8"/>
        <item t="default"/>
      </items>
    </pivotField>
    <pivotField compact="0" outline="0" showAll="0" includeNewItemsInFilter="1">
      <items count="4">
        <item x="1"/>
        <item x="0"/>
        <item x="2"/>
        <item t="default"/>
      </items>
    </pivotField>
    <pivotField compact="0" outline="0" showAll="0" includeNewItemsInFilter="1">
      <items count="5">
        <item x="2"/>
        <item x="1"/>
        <item x="3"/>
        <item x="0"/>
        <item t="default"/>
      </items>
    </pivotField>
    <pivotField compact="0" outline="0" showAll="0" includeNewItemsInFilter="1">
      <items count="7">
        <item x="4"/>
        <item x="2"/>
        <item x="5"/>
        <item x="3"/>
        <item x="0"/>
        <item x="1"/>
        <item t="default"/>
      </items>
    </pivotField>
    <pivotField compact="0" outline="0" showAll="0" includeNewItemsInFilter="1">
      <items count="3">
        <item x="1"/>
        <item x="0"/>
        <item t="default"/>
      </items>
    </pivotField>
    <pivotField compact="0" numFmtId="14" outline="0" showAll="0" includeNewItemsInFilter="1">
      <items count="174">
        <item x="155"/>
        <item x="74"/>
        <item x="55"/>
        <item x="79"/>
        <item x="36"/>
        <item x="67"/>
        <item x="38"/>
        <item x="47"/>
        <item x="115"/>
        <item x="4"/>
        <item x="20"/>
        <item x="0"/>
        <item x="111"/>
        <item x="138"/>
        <item x="170"/>
        <item x="148"/>
        <item x="53"/>
        <item x="136"/>
        <item x="121"/>
        <item x="151"/>
        <item x="15"/>
        <item x="24"/>
        <item x="8"/>
        <item x="50"/>
        <item x="140"/>
        <item x="107"/>
        <item x="105"/>
        <item x="48"/>
        <item x="157"/>
        <item x="118"/>
        <item x="145"/>
        <item x="89"/>
        <item x="39"/>
        <item x="141"/>
        <item x="30"/>
        <item x="35"/>
        <item x="135"/>
        <item x="171"/>
        <item x="82"/>
        <item x="76"/>
        <item x="62"/>
        <item x="90"/>
        <item x="117"/>
        <item x="10"/>
        <item x="84"/>
        <item x="78"/>
        <item x="97"/>
        <item x="112"/>
        <item x="56"/>
        <item x="168"/>
        <item x="93"/>
        <item x="159"/>
        <item x="139"/>
        <item x="114"/>
        <item x="125"/>
        <item x="11"/>
        <item x="164"/>
        <item x="101"/>
        <item x="45"/>
        <item x="116"/>
        <item x="149"/>
        <item x="80"/>
        <item x="59"/>
        <item x="132"/>
        <item x="73"/>
        <item x="14"/>
        <item x="37"/>
        <item x="2"/>
        <item x="87"/>
        <item x="99"/>
        <item x="94"/>
        <item x="64"/>
        <item x="75"/>
        <item x="25"/>
        <item x="153"/>
        <item x="120"/>
        <item x="32"/>
        <item x="3"/>
        <item x="137"/>
        <item x="113"/>
        <item x="169"/>
        <item x="102"/>
        <item x="68"/>
        <item x="41"/>
        <item x="154"/>
        <item x="98"/>
        <item x="106"/>
        <item x="18"/>
        <item x="69"/>
        <item x="52"/>
        <item x="85"/>
        <item x="63"/>
        <item x="49"/>
        <item x="26"/>
        <item x="86"/>
        <item x="6"/>
        <item x="122"/>
        <item x="109"/>
        <item x="61"/>
        <item x="5"/>
        <item x="161"/>
        <item x="16"/>
        <item x="95"/>
        <item x="77"/>
        <item x="119"/>
        <item x="29"/>
        <item x="88"/>
        <item x="158"/>
        <item x="96"/>
        <item x="142"/>
        <item x="13"/>
        <item x="71"/>
        <item x="43"/>
        <item x="33"/>
        <item x="108"/>
        <item x="23"/>
        <item x="60"/>
        <item x="167"/>
        <item x="144"/>
        <item x="21"/>
        <item x="163"/>
        <item x="1"/>
        <item x="131"/>
        <item x="17"/>
        <item x="65"/>
        <item x="133"/>
        <item x="81"/>
        <item x="83"/>
        <item x="103"/>
        <item x="172"/>
        <item x="129"/>
        <item x="28"/>
        <item x="91"/>
        <item x="7"/>
        <item x="44"/>
        <item x="40"/>
        <item x="54"/>
        <item x="70"/>
        <item x="128"/>
        <item x="58"/>
        <item x="12"/>
        <item x="31"/>
        <item x="22"/>
        <item x="123"/>
        <item x="57"/>
        <item x="166"/>
        <item x="134"/>
        <item x="165"/>
        <item x="124"/>
        <item x="46"/>
        <item x="42"/>
        <item x="150"/>
        <item x="162"/>
        <item x="146"/>
        <item x="92"/>
        <item x="126"/>
        <item x="110"/>
        <item x="152"/>
        <item x="51"/>
        <item x="156"/>
        <item x="19"/>
        <item x="143"/>
        <item x="127"/>
        <item x="9"/>
        <item x="160"/>
        <item x="72"/>
        <item x="130"/>
        <item x="66"/>
        <item x="104"/>
        <item x="27"/>
        <item x="147"/>
        <item x="34"/>
        <item x="100"/>
        <item t="default"/>
      </items>
    </pivotField>
    <pivotField compact="0" outline="0" showAll="0" includeNewItemsInFilter="1">
      <items count="201">
        <item x="34"/>
        <item x="41"/>
        <item x="91"/>
        <item x="174"/>
        <item x="37"/>
        <item x="192"/>
        <item x="46"/>
        <item x="180"/>
        <item x="156"/>
        <item x="35"/>
        <item x="80"/>
        <item x="55"/>
        <item x="96"/>
        <item x="196"/>
        <item x="163"/>
        <item x="121"/>
        <item h="1" x="105"/>
        <item x="93"/>
        <item x="170"/>
        <item x="84"/>
        <item x="199"/>
        <item x="142"/>
        <item x="72"/>
        <item x="83"/>
        <item x="118"/>
        <item x="125"/>
        <item x="168"/>
        <item x="147"/>
        <item x="110"/>
        <item x="67"/>
        <item x="54"/>
        <item x="78"/>
        <item x="5"/>
        <item x="0"/>
        <item x="176"/>
        <item x="169"/>
        <item x="148"/>
        <item x="89"/>
        <item x="129"/>
        <item x="116"/>
        <item x="130"/>
        <item x="39"/>
        <item x="59"/>
        <item x="191"/>
        <item x="161"/>
        <item x="172"/>
        <item x="115"/>
        <item x="100"/>
        <item x="104"/>
        <item x="53"/>
        <item x="167"/>
        <item x="58"/>
        <item x="12"/>
        <item x="6"/>
        <item x="158"/>
        <item x="198"/>
        <item x="75"/>
        <item x="7"/>
        <item x="153"/>
        <item x="137"/>
        <item x="133"/>
        <item x="165"/>
        <item x="185"/>
        <item x="182"/>
        <item x="184"/>
        <item x="26"/>
        <item x="44"/>
        <item x="71"/>
        <item x="103"/>
        <item x="43"/>
        <item x="111"/>
        <item x="90"/>
        <item x="64"/>
        <item x="164"/>
        <item x="23"/>
        <item x="141"/>
        <item x="171"/>
        <item x="140"/>
        <item x="63"/>
        <item x="29"/>
        <item x="197"/>
        <item x="65"/>
        <item x="188"/>
        <item x="124"/>
        <item x="60"/>
        <item x="143"/>
        <item x="47"/>
        <item x="36"/>
        <item x="173"/>
        <item x="113"/>
        <item x="66"/>
        <item x="42"/>
        <item x="79"/>
        <item x="40"/>
        <item x="94"/>
        <item x="157"/>
        <item x="177"/>
        <item x="45"/>
        <item x="16"/>
        <item x="97"/>
        <item x="154"/>
        <item x="145"/>
        <item x="22"/>
        <item x="18"/>
        <item x="73"/>
        <item x="101"/>
        <item x="181"/>
        <item x="85"/>
        <item x="117"/>
        <item x="11"/>
        <item x="175"/>
        <item x="155"/>
        <item x="86"/>
        <item x="152"/>
        <item x="159"/>
        <item x="15"/>
        <item x="57"/>
        <item x="2"/>
        <item x="30"/>
        <item x="151"/>
        <item x="61"/>
        <item x="19"/>
        <item x="166"/>
        <item x="27"/>
        <item x="193"/>
        <item x="82"/>
        <item x="92"/>
        <item x="106"/>
        <item x="114"/>
        <item x="135"/>
        <item x="33"/>
        <item x="126"/>
        <item x="123"/>
        <item x="69"/>
        <item x="9"/>
        <item x="20"/>
        <item x="149"/>
        <item x="88"/>
        <item x="150"/>
        <item x="4"/>
        <item x="144"/>
        <item x="21"/>
        <item x="112"/>
        <item x="87"/>
        <item x="128"/>
        <item x="162"/>
        <item x="160"/>
        <item x="14"/>
        <item x="107"/>
        <item x="32"/>
        <item x="178"/>
        <item x="31"/>
        <item x="3"/>
        <item x="56"/>
        <item x="179"/>
        <item x="119"/>
        <item x="131"/>
        <item x="74"/>
        <item x="190"/>
        <item x="134"/>
        <item x="76"/>
        <item x="127"/>
        <item x="102"/>
        <item x="10"/>
        <item x="109"/>
        <item x="49"/>
        <item x="38"/>
        <item x="187"/>
        <item x="139"/>
        <item x="95"/>
        <item x="195"/>
        <item x="13"/>
        <item x="183"/>
        <item x="98"/>
        <item x="25"/>
        <item x="186"/>
        <item x="122"/>
        <item x="189"/>
        <item x="8"/>
        <item x="17"/>
        <item x="28"/>
        <item x="48"/>
        <item x="50"/>
        <item x="132"/>
        <item x="138"/>
        <item x="24"/>
        <item x="99"/>
        <item x="70"/>
        <item x="68"/>
        <item x="51"/>
        <item x="136"/>
        <item x="120"/>
        <item x="52"/>
        <item x="108"/>
        <item x="146"/>
        <item x="77"/>
        <item x="81"/>
        <item x="1"/>
        <item x="62"/>
        <item x="194"/>
        <item t="default"/>
      </items>
    </pivotField>
    <pivotField axis="axisRow" compact="0" outline="0" showAll="0" includeNewItemsInFilter="1">
      <items count="4">
        <item x="0"/>
        <item x="1"/>
        <item x="2"/>
        <item t="default"/>
      </items>
    </pivotField>
    <pivotField compact="0" outline="0" showAll="0" includeNewItemsInFilter="1"/>
  </pivotFields>
  <rowFields count="1">
    <field x="8"/>
  </rowFields>
  <rowItems count="4">
    <i>
      <x/>
    </i>
    <i>
      <x v="1"/>
    </i>
    <i>
      <x v="2"/>
    </i>
    <i t="grand">
      <x/>
    </i>
  </rowItems>
  <colItems count="1">
    <i/>
  </colItems>
  <formats count="1">
    <format dxfId="39">
      <pivotArea outline="0" collapsedLevelsAreSubtotals="1"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0420F9-CCE7-490C-9EAC-5FC61C7A3682}" name="PivotTable2" cacheId="2" dataOnRows="1" applyNumberFormats="0" applyBorderFormats="0" applyFontFormats="0" applyPatternFormats="0" applyAlignmentFormats="0" applyWidthHeightFormats="1" dataCaption="Data" updatedVersion="8" minRefreshableVersion="5" showMemberPropertyTips="0" itemPrintTitles="1" createdVersion="8" indent="0" compact="0" compactData="0" gridDropZones="1">
  <location ref="A19:B24" firstHeaderRow="2" firstDataRow="2" firstDataCol="1"/>
  <pivotFields count="10">
    <pivotField compact="0" outline="0" showAll="0" includeNewItemsInFilter="1"/>
    <pivotField compact="0" outline="0" showAll="0" includeNewItemsInFilter="1"/>
    <pivotField axis="axisRow" dataField="1" compact="0" outline="0" showAll="0" includeNewItemsInFilter="1">
      <items count="4">
        <item x="1"/>
        <item x="0"/>
        <item x="2"/>
        <item t="default"/>
      </items>
    </pivotField>
    <pivotField compact="0" outline="0" showAll="0" includeNewItemsInFilter="1">
      <items count="5">
        <item x="2"/>
        <item x="1"/>
        <item x="3"/>
        <item x="0"/>
        <item t="default"/>
      </items>
    </pivotField>
    <pivotField compact="0" outline="0" showAll="0" includeNewItemsInFilter="1">
      <items count="7">
        <item x="4"/>
        <item x="2"/>
        <item x="5"/>
        <item x="3"/>
        <item x="0"/>
        <item x="1"/>
        <item t="default"/>
      </items>
    </pivotField>
    <pivotField compact="0" outline="0" showAll="0" includeNewItemsInFilter="1">
      <items count="3">
        <item x="1"/>
        <item x="0"/>
        <item t="default"/>
      </items>
    </pivotField>
    <pivotField compact="0" numFmtId="14" outline="0" showAll="0" includeNewItemsInFilter="1">
      <items count="174">
        <item x="155"/>
        <item x="74"/>
        <item x="55"/>
        <item x="79"/>
        <item x="36"/>
        <item x="67"/>
        <item x="38"/>
        <item x="47"/>
        <item x="115"/>
        <item x="4"/>
        <item x="20"/>
        <item x="0"/>
        <item x="111"/>
        <item x="138"/>
        <item x="170"/>
        <item x="148"/>
        <item x="53"/>
        <item x="136"/>
        <item x="121"/>
        <item x="151"/>
        <item x="15"/>
        <item x="24"/>
        <item x="8"/>
        <item x="50"/>
        <item x="140"/>
        <item x="107"/>
        <item x="105"/>
        <item x="48"/>
        <item x="157"/>
        <item x="118"/>
        <item x="145"/>
        <item x="89"/>
        <item x="39"/>
        <item x="141"/>
        <item x="30"/>
        <item x="35"/>
        <item x="135"/>
        <item x="171"/>
        <item x="82"/>
        <item x="76"/>
        <item x="62"/>
        <item x="90"/>
        <item x="117"/>
        <item x="10"/>
        <item x="84"/>
        <item x="78"/>
        <item x="97"/>
        <item x="112"/>
        <item x="56"/>
        <item x="168"/>
        <item x="93"/>
        <item x="159"/>
        <item x="139"/>
        <item x="114"/>
        <item x="125"/>
        <item x="11"/>
        <item x="164"/>
        <item x="101"/>
        <item x="45"/>
        <item x="116"/>
        <item x="149"/>
        <item x="80"/>
        <item x="59"/>
        <item x="132"/>
        <item x="73"/>
        <item x="14"/>
        <item x="37"/>
        <item x="2"/>
        <item x="87"/>
        <item x="99"/>
        <item x="94"/>
        <item x="64"/>
        <item x="75"/>
        <item x="25"/>
        <item x="153"/>
        <item x="120"/>
        <item x="32"/>
        <item x="3"/>
        <item x="137"/>
        <item x="113"/>
        <item x="169"/>
        <item x="102"/>
        <item x="68"/>
        <item x="41"/>
        <item x="154"/>
        <item x="98"/>
        <item x="106"/>
        <item x="18"/>
        <item x="69"/>
        <item x="52"/>
        <item x="85"/>
        <item x="63"/>
        <item x="49"/>
        <item x="26"/>
        <item x="86"/>
        <item x="6"/>
        <item x="122"/>
        <item x="109"/>
        <item x="61"/>
        <item x="5"/>
        <item x="161"/>
        <item x="16"/>
        <item x="95"/>
        <item x="77"/>
        <item x="119"/>
        <item x="29"/>
        <item x="88"/>
        <item x="158"/>
        <item x="96"/>
        <item x="142"/>
        <item x="13"/>
        <item x="71"/>
        <item x="43"/>
        <item x="33"/>
        <item x="108"/>
        <item x="23"/>
        <item x="60"/>
        <item x="167"/>
        <item x="144"/>
        <item x="21"/>
        <item x="163"/>
        <item x="1"/>
        <item x="131"/>
        <item x="17"/>
        <item x="65"/>
        <item x="133"/>
        <item x="81"/>
        <item x="83"/>
        <item x="103"/>
        <item x="172"/>
        <item x="129"/>
        <item x="28"/>
        <item x="91"/>
        <item x="7"/>
        <item x="44"/>
        <item x="40"/>
        <item x="54"/>
        <item x="70"/>
        <item x="128"/>
        <item x="58"/>
        <item x="12"/>
        <item x="31"/>
        <item x="22"/>
        <item x="123"/>
        <item x="57"/>
        <item x="166"/>
        <item x="134"/>
        <item x="165"/>
        <item x="124"/>
        <item x="46"/>
        <item x="42"/>
        <item x="150"/>
        <item x="162"/>
        <item x="146"/>
        <item x="92"/>
        <item x="126"/>
        <item x="110"/>
        <item x="152"/>
        <item x="51"/>
        <item x="156"/>
        <item x="19"/>
        <item x="143"/>
        <item x="127"/>
        <item x="9"/>
        <item x="160"/>
        <item x="72"/>
        <item x="130"/>
        <item x="66"/>
        <item x="104"/>
        <item x="27"/>
        <item x="147"/>
        <item x="34"/>
        <item x="100"/>
        <item t="default"/>
      </items>
    </pivotField>
    <pivotField compact="0" outline="0" showAll="0" includeNewItemsInFilter="1">
      <items count="201">
        <item x="34"/>
        <item x="41"/>
        <item x="91"/>
        <item x="174"/>
        <item x="37"/>
        <item x="192"/>
        <item x="46"/>
        <item x="180"/>
        <item x="156"/>
        <item x="35"/>
        <item x="80"/>
        <item x="55"/>
        <item x="96"/>
        <item x="196"/>
        <item x="163"/>
        <item x="121"/>
        <item h="1" x="105"/>
        <item x="93"/>
        <item x="170"/>
        <item x="84"/>
        <item x="199"/>
        <item x="142"/>
        <item x="72"/>
        <item x="83"/>
        <item x="118"/>
        <item x="125"/>
        <item x="168"/>
        <item x="147"/>
        <item x="110"/>
        <item x="67"/>
        <item x="54"/>
        <item x="78"/>
        <item x="5"/>
        <item x="0"/>
        <item x="176"/>
        <item x="169"/>
        <item x="148"/>
        <item x="89"/>
        <item x="129"/>
        <item x="116"/>
        <item x="130"/>
        <item x="39"/>
        <item x="59"/>
        <item x="191"/>
        <item x="161"/>
        <item x="172"/>
        <item x="115"/>
        <item x="100"/>
        <item x="104"/>
        <item x="53"/>
        <item x="167"/>
        <item x="58"/>
        <item x="12"/>
        <item x="6"/>
        <item x="158"/>
        <item x="198"/>
        <item x="75"/>
        <item x="7"/>
        <item x="153"/>
        <item x="137"/>
        <item x="133"/>
        <item x="165"/>
        <item x="185"/>
        <item x="182"/>
        <item x="184"/>
        <item x="26"/>
        <item x="44"/>
        <item x="71"/>
        <item x="103"/>
        <item x="43"/>
        <item x="111"/>
        <item x="90"/>
        <item x="64"/>
        <item x="164"/>
        <item x="23"/>
        <item x="141"/>
        <item x="171"/>
        <item x="140"/>
        <item x="63"/>
        <item x="29"/>
        <item x="197"/>
        <item x="65"/>
        <item x="188"/>
        <item x="124"/>
        <item x="60"/>
        <item x="143"/>
        <item x="47"/>
        <item x="36"/>
        <item x="173"/>
        <item x="113"/>
        <item x="66"/>
        <item x="42"/>
        <item x="79"/>
        <item x="40"/>
        <item x="94"/>
        <item x="157"/>
        <item x="177"/>
        <item x="45"/>
        <item x="16"/>
        <item x="97"/>
        <item x="154"/>
        <item x="145"/>
        <item x="22"/>
        <item x="18"/>
        <item x="73"/>
        <item x="101"/>
        <item x="181"/>
        <item x="85"/>
        <item x="117"/>
        <item x="11"/>
        <item x="175"/>
        <item x="155"/>
        <item x="86"/>
        <item x="152"/>
        <item x="159"/>
        <item x="15"/>
        <item x="57"/>
        <item x="2"/>
        <item x="30"/>
        <item x="151"/>
        <item x="61"/>
        <item x="19"/>
        <item x="166"/>
        <item x="27"/>
        <item x="193"/>
        <item x="82"/>
        <item x="92"/>
        <item x="106"/>
        <item x="114"/>
        <item x="135"/>
        <item x="33"/>
        <item x="126"/>
        <item x="123"/>
        <item x="69"/>
        <item x="9"/>
        <item x="20"/>
        <item x="149"/>
        <item x="88"/>
        <item x="150"/>
        <item x="4"/>
        <item x="144"/>
        <item x="21"/>
        <item x="112"/>
        <item x="87"/>
        <item x="128"/>
        <item x="162"/>
        <item x="160"/>
        <item x="14"/>
        <item x="107"/>
        <item x="32"/>
        <item x="178"/>
        <item x="31"/>
        <item x="3"/>
        <item x="56"/>
        <item x="179"/>
        <item x="119"/>
        <item x="131"/>
        <item x="74"/>
        <item x="190"/>
        <item x="134"/>
        <item x="76"/>
        <item x="127"/>
        <item x="102"/>
        <item x="10"/>
        <item x="109"/>
        <item x="49"/>
        <item x="38"/>
        <item x="187"/>
        <item x="139"/>
        <item x="95"/>
        <item x="195"/>
        <item x="13"/>
        <item x="183"/>
        <item x="98"/>
        <item x="25"/>
        <item x="186"/>
        <item x="122"/>
        <item x="189"/>
        <item x="8"/>
        <item x="17"/>
        <item x="28"/>
        <item x="48"/>
        <item x="50"/>
        <item x="132"/>
        <item x="138"/>
        <item x="24"/>
        <item x="99"/>
        <item x="70"/>
        <item x="68"/>
        <item x="51"/>
        <item x="136"/>
        <item x="120"/>
        <item x="52"/>
        <item x="108"/>
        <item x="146"/>
        <item x="77"/>
        <item x="81"/>
        <item x="1"/>
        <item x="62"/>
        <item x="194"/>
        <item t="default"/>
      </items>
    </pivotField>
    <pivotField compact="0" outline="0" showAll="0" includeNewItemsInFilter="1">
      <items count="4">
        <item x="0"/>
        <item x="1"/>
        <item x="2"/>
        <item t="default"/>
      </items>
    </pivotField>
    <pivotField compact="0" outline="0" showAll="0" includeNewItemsInFilter="1"/>
  </pivotFields>
  <rowFields count="1">
    <field x="2"/>
  </rowFields>
  <rowItems count="4">
    <i>
      <x/>
    </i>
    <i>
      <x v="1"/>
    </i>
    <i>
      <x v="2"/>
    </i>
    <i t="grand">
      <x/>
    </i>
  </rowItems>
  <colItems count="1">
    <i/>
  </colItems>
  <dataFields count="1">
    <dataField name="Count of customer_type" fld="2"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809150-F732-4D59-ACEA-EB26B4A06A44}" name="PivotTable19" cacheId="2"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chartFormat="26">
  <location ref="A62:B74" firstHeaderRow="2" firstDataRow="2" firstDataCol="1" rowPageCount="1" colPageCount="1"/>
  <pivotFields count="10">
    <pivotField compact="0" outline="0" showAll="0" includeNewItemsInFilter="1" sortType="ascending">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compact="0" outline="0" showAll="0" measureFilter="1" includeNewItemsInFilter="1" sortType="descending">
      <items count="108">
        <item x="33"/>
        <item x="11"/>
        <item x="72"/>
        <item x="94"/>
        <item x="97"/>
        <item x="26"/>
        <item x="16"/>
        <item x="24"/>
        <item x="60"/>
        <item x="3"/>
        <item x="4"/>
        <item x="5"/>
        <item x="7"/>
        <item x="27"/>
        <item x="32"/>
        <item x="17"/>
        <item x="37"/>
        <item x="53"/>
        <item x="66"/>
        <item x="78"/>
        <item x="21"/>
        <item x="69"/>
        <item x="52"/>
        <item x="42"/>
        <item x="20"/>
        <item x="28"/>
        <item x="56"/>
        <item x="103"/>
        <item x="13"/>
        <item x="45"/>
        <item x="19"/>
        <item x="30"/>
        <item x="40"/>
        <item x="106"/>
        <item x="18"/>
        <item x="59"/>
        <item x="68"/>
        <item x="10"/>
        <item x="55"/>
        <item x="35"/>
        <item x="34"/>
        <item x="87"/>
        <item x="85"/>
        <item x="36"/>
        <item x="80"/>
        <item x="77"/>
        <item x="99"/>
        <item x="88"/>
        <item x="61"/>
        <item x="38"/>
        <item x="44"/>
        <item x="39"/>
        <item x="95"/>
        <item x="84"/>
        <item x="57"/>
        <item x="62"/>
        <item x="51"/>
        <item x="48"/>
        <item x="50"/>
        <item x="0"/>
        <item x="41"/>
        <item x="90"/>
        <item x="93"/>
        <item x="100"/>
        <item x="9"/>
        <item x="1"/>
        <item x="71"/>
        <item x="70"/>
        <item x="12"/>
        <item x="102"/>
        <item x="104"/>
        <item x="74"/>
        <item x="58"/>
        <item x="64"/>
        <item x="23"/>
        <item x="54"/>
        <item x="65"/>
        <item x="46"/>
        <item x="76"/>
        <item x="81"/>
        <item x="79"/>
        <item x="92"/>
        <item x="105"/>
        <item x="43"/>
        <item x="83"/>
        <item x="6"/>
        <item x="25"/>
        <item x="47"/>
        <item x="82"/>
        <item x="91"/>
        <item x="15"/>
        <item x="73"/>
        <item x="31"/>
        <item x="63"/>
        <item x="67"/>
        <item x="14"/>
        <item x="49"/>
        <item x="75"/>
        <item x="101"/>
        <item x="22"/>
        <item x="29"/>
        <item x="89"/>
        <item x="2"/>
        <item x="98"/>
        <item x="96"/>
        <item x="86"/>
        <item x="8"/>
        <item t="default"/>
      </items>
      <autoSortScope>
        <pivotArea dataOnly="0" outline="0" fieldPosition="0">
          <references count="1">
            <reference field="4294967294" count="1" selected="0">
              <x v="0"/>
            </reference>
          </references>
        </pivotArea>
      </autoSortScope>
    </pivotField>
    <pivotField compact="0" outline="0" showAll="0" includeNewItemsInFilter="1">
      <items count="4">
        <item x="1"/>
        <item x="0"/>
        <item x="2"/>
        <item t="default"/>
      </items>
    </pivotField>
    <pivotField compact="0" outline="0" showAll="0" includeNewItemsInFilter="1">
      <items count="5">
        <item x="2"/>
        <item x="1"/>
        <item x="3"/>
        <item x="0"/>
        <item t="default"/>
      </items>
    </pivotField>
    <pivotField compact="0" outline="0" showAll="0" includeNewItemsInFilter="1">
      <items count="7">
        <item x="4"/>
        <item x="2"/>
        <item x="5"/>
        <item x="3"/>
        <item x="0"/>
        <item x="1"/>
        <item t="default"/>
      </items>
    </pivotField>
    <pivotField compact="0" outline="0" showAll="0" includeNewItemsInFilter="1">
      <items count="3">
        <item x="1"/>
        <item x="0"/>
        <item t="default"/>
      </items>
    </pivotField>
    <pivotField compact="0" numFmtId="14" outline="0" showAll="0" includeNewItemsInFilter="1">
      <items count="174">
        <item x="155"/>
        <item x="74"/>
        <item x="55"/>
        <item x="79"/>
        <item x="36"/>
        <item x="67"/>
        <item x="38"/>
        <item x="47"/>
        <item x="115"/>
        <item x="4"/>
        <item x="20"/>
        <item x="0"/>
        <item x="111"/>
        <item x="138"/>
        <item x="170"/>
        <item x="148"/>
        <item x="53"/>
        <item x="136"/>
        <item x="121"/>
        <item x="151"/>
        <item x="15"/>
        <item x="24"/>
        <item x="8"/>
        <item x="50"/>
        <item x="140"/>
        <item x="107"/>
        <item x="105"/>
        <item x="48"/>
        <item x="157"/>
        <item x="118"/>
        <item x="145"/>
        <item x="89"/>
        <item x="39"/>
        <item x="141"/>
        <item x="30"/>
        <item x="35"/>
        <item x="135"/>
        <item x="171"/>
        <item x="82"/>
        <item x="76"/>
        <item x="62"/>
        <item x="90"/>
        <item x="117"/>
        <item x="10"/>
        <item x="84"/>
        <item x="78"/>
        <item x="97"/>
        <item x="112"/>
        <item x="56"/>
        <item x="168"/>
        <item x="93"/>
        <item x="159"/>
        <item x="139"/>
        <item x="114"/>
        <item x="125"/>
        <item x="11"/>
        <item x="164"/>
        <item x="101"/>
        <item x="45"/>
        <item x="116"/>
        <item x="149"/>
        <item x="80"/>
        <item x="59"/>
        <item x="132"/>
        <item x="73"/>
        <item x="14"/>
        <item x="37"/>
        <item x="2"/>
        <item x="87"/>
        <item x="99"/>
        <item x="94"/>
        <item x="64"/>
        <item x="75"/>
        <item x="25"/>
        <item x="153"/>
        <item x="120"/>
        <item x="32"/>
        <item x="3"/>
        <item x="137"/>
        <item x="113"/>
        <item x="169"/>
        <item x="102"/>
        <item x="68"/>
        <item x="41"/>
        <item x="154"/>
        <item x="98"/>
        <item x="106"/>
        <item x="18"/>
        <item x="69"/>
        <item x="52"/>
        <item x="85"/>
        <item x="63"/>
        <item x="49"/>
        <item x="26"/>
        <item x="86"/>
        <item x="6"/>
        <item x="122"/>
        <item x="109"/>
        <item x="61"/>
        <item x="5"/>
        <item x="161"/>
        <item x="16"/>
        <item x="95"/>
        <item x="77"/>
        <item x="119"/>
        <item x="29"/>
        <item x="88"/>
        <item x="158"/>
        <item x="96"/>
        <item x="142"/>
        <item x="13"/>
        <item x="71"/>
        <item x="43"/>
        <item x="33"/>
        <item x="108"/>
        <item x="23"/>
        <item x="60"/>
        <item x="167"/>
        <item x="144"/>
        <item x="21"/>
        <item x="163"/>
        <item x="1"/>
        <item x="131"/>
        <item x="17"/>
        <item x="65"/>
        <item x="133"/>
        <item x="81"/>
        <item x="83"/>
        <item x="103"/>
        <item x="172"/>
        <item x="129"/>
        <item x="28"/>
        <item x="91"/>
        <item x="7"/>
        <item x="44"/>
        <item x="40"/>
        <item x="54"/>
        <item x="70"/>
        <item x="128"/>
        <item x="58"/>
        <item x="12"/>
        <item x="31"/>
        <item x="22"/>
        <item x="123"/>
        <item x="57"/>
        <item x="166"/>
        <item x="134"/>
        <item x="165"/>
        <item x="124"/>
        <item x="46"/>
        <item x="42"/>
        <item x="150"/>
        <item x="162"/>
        <item x="146"/>
        <item x="92"/>
        <item x="126"/>
        <item x="110"/>
        <item x="152"/>
        <item x="51"/>
        <item x="156"/>
        <item x="19"/>
        <item x="143"/>
        <item x="127"/>
        <item x="9"/>
        <item x="160"/>
        <item x="72"/>
        <item x="130"/>
        <item x="66"/>
        <item x="104"/>
        <item x="27"/>
        <item x="147"/>
        <item x="34"/>
        <item x="100"/>
        <item t="default"/>
      </items>
    </pivotField>
    <pivotField dataField="1" compact="0" outline="0" showAll="0" includeNewItemsInFilter="1">
      <items count="201">
        <item x="34"/>
        <item x="41"/>
        <item x="91"/>
        <item x="174"/>
        <item x="37"/>
        <item x="192"/>
        <item x="46"/>
        <item x="180"/>
        <item x="156"/>
        <item x="35"/>
        <item x="80"/>
        <item x="55"/>
        <item x="96"/>
        <item x="196"/>
        <item x="163"/>
        <item x="121"/>
        <item h="1" x="105"/>
        <item x="93"/>
        <item x="170"/>
        <item x="84"/>
        <item x="199"/>
        <item x="142"/>
        <item x="72"/>
        <item x="83"/>
        <item x="118"/>
        <item x="125"/>
        <item x="168"/>
        <item x="147"/>
        <item x="110"/>
        <item x="67"/>
        <item x="54"/>
        <item x="78"/>
        <item x="5"/>
        <item x="0"/>
        <item x="176"/>
        <item x="169"/>
        <item x="148"/>
        <item x="89"/>
        <item x="129"/>
        <item x="116"/>
        <item x="130"/>
        <item x="39"/>
        <item x="59"/>
        <item x="191"/>
        <item x="161"/>
        <item x="172"/>
        <item x="115"/>
        <item x="100"/>
        <item x="104"/>
        <item x="53"/>
        <item x="167"/>
        <item x="58"/>
        <item x="12"/>
        <item x="6"/>
        <item x="158"/>
        <item x="198"/>
        <item x="75"/>
        <item x="7"/>
        <item x="153"/>
        <item x="137"/>
        <item x="133"/>
        <item x="165"/>
        <item x="185"/>
        <item x="182"/>
        <item x="184"/>
        <item x="26"/>
        <item x="44"/>
        <item x="71"/>
        <item x="103"/>
        <item x="43"/>
        <item x="111"/>
        <item x="90"/>
        <item x="64"/>
        <item x="164"/>
        <item x="23"/>
        <item x="141"/>
        <item x="171"/>
        <item x="140"/>
        <item x="63"/>
        <item x="29"/>
        <item x="197"/>
        <item x="65"/>
        <item x="188"/>
        <item x="124"/>
        <item x="60"/>
        <item x="143"/>
        <item x="47"/>
        <item x="36"/>
        <item x="173"/>
        <item x="113"/>
        <item x="66"/>
        <item x="42"/>
        <item x="79"/>
        <item x="40"/>
        <item x="94"/>
        <item x="157"/>
        <item x="177"/>
        <item x="45"/>
        <item x="16"/>
        <item x="97"/>
        <item x="154"/>
        <item x="145"/>
        <item x="22"/>
        <item x="18"/>
        <item x="73"/>
        <item x="101"/>
        <item x="181"/>
        <item x="85"/>
        <item x="117"/>
        <item x="11"/>
        <item x="175"/>
        <item x="155"/>
        <item x="86"/>
        <item x="152"/>
        <item x="159"/>
        <item x="15"/>
        <item x="57"/>
        <item x="2"/>
        <item x="30"/>
        <item x="151"/>
        <item x="61"/>
        <item x="19"/>
        <item x="166"/>
        <item x="27"/>
        <item x="193"/>
        <item x="82"/>
        <item x="92"/>
        <item x="106"/>
        <item x="114"/>
        <item x="135"/>
        <item x="33"/>
        <item x="126"/>
        <item x="123"/>
        <item x="69"/>
        <item x="9"/>
        <item x="20"/>
        <item x="149"/>
        <item x="88"/>
        <item x="150"/>
        <item x="4"/>
        <item x="144"/>
        <item x="21"/>
        <item x="112"/>
        <item x="87"/>
        <item x="128"/>
        <item x="162"/>
        <item x="160"/>
        <item x="14"/>
        <item x="107"/>
        <item x="32"/>
        <item x="178"/>
        <item x="31"/>
        <item x="3"/>
        <item x="56"/>
        <item x="179"/>
        <item x="119"/>
        <item x="131"/>
        <item x="74"/>
        <item x="190"/>
        <item x="134"/>
        <item x="76"/>
        <item x="127"/>
        <item x="102"/>
        <item x="10"/>
        <item x="109"/>
        <item x="49"/>
        <item x="38"/>
        <item x="187"/>
        <item x="139"/>
        <item x="95"/>
        <item x="195"/>
        <item x="13"/>
        <item x="183"/>
        <item x="98"/>
        <item x="25"/>
        <item x="186"/>
        <item x="122"/>
        <item x="189"/>
        <item x="8"/>
        <item x="17"/>
        <item x="28"/>
        <item x="48"/>
        <item x="50"/>
        <item x="132"/>
        <item x="138"/>
        <item x="24"/>
        <item x="99"/>
        <item x="70"/>
        <item x="68"/>
        <item x="51"/>
        <item x="136"/>
        <item x="120"/>
        <item x="52"/>
        <item x="108"/>
        <item x="146"/>
        <item x="77"/>
        <item x="81"/>
        <item x="1"/>
        <item x="62"/>
        <item x="194"/>
        <item t="default"/>
      </items>
    </pivotField>
    <pivotField axis="axisPage" compact="0" outline="0" showAll="0" includeNewItemsInFilter="1">
      <items count="4">
        <item x="0"/>
        <item x="1"/>
        <item x="2"/>
        <item t="default"/>
      </items>
    </pivotField>
    <pivotField compact="0" outline="0" showAll="0" includeNewItemsInFilter="1"/>
  </pivotFields>
  <rowFields count="1">
    <field x="1"/>
  </rowFields>
  <rowItems count="11">
    <i>
      <x v="37"/>
    </i>
    <i>
      <x v="106"/>
    </i>
    <i>
      <x v="39"/>
    </i>
    <i>
      <x v="22"/>
    </i>
    <i>
      <x v="24"/>
    </i>
    <i>
      <x v="40"/>
    </i>
    <i>
      <x v="51"/>
    </i>
    <i>
      <x v="50"/>
    </i>
    <i>
      <x v="83"/>
    </i>
    <i>
      <x v="49"/>
    </i>
    <i t="grand">
      <x/>
    </i>
  </rowItems>
  <colItems count="1">
    <i/>
  </colItems>
  <pageFields count="1">
    <pageField fld="8" hier="-1"/>
  </pageFields>
  <dataFields count="1">
    <dataField name="Sum of annual_revenue_potential" fld="7" baseField="0" baseItem="0"/>
  </dataFields>
  <pivotTableStyleInfo showRowHeaders="1" showColHeaders="1" showRowStripes="0" showColStripes="0" showLastColumn="1"/>
  <filters count="1">
    <filter fld="1" type="count" evalOrder="-1" id="20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EA4C40-71F6-4647-A3DC-F86C4592842E}" name="PivotTable1" cacheId="2"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location ref="A3:B4" firstHeaderRow="1" firstDataRow="1" firstDataCol="1"/>
  <pivotFields count="10">
    <pivotField dataField="1" compact="0" outline="0" showAll="0" includeNewItemsInFilter="1"/>
    <pivotField compact="0" outline="0" showAll="0" includeNewItemsInFilter="1"/>
    <pivotField compact="0" outline="0" showAll="0" includeNewItemsInFilter="1">
      <items count="4">
        <item x="1"/>
        <item x="0"/>
        <item x="2"/>
        <item t="default"/>
      </items>
    </pivotField>
    <pivotField compact="0" outline="0" showAll="0" includeNewItemsInFilter="1">
      <items count="5">
        <item x="2"/>
        <item x="1"/>
        <item x="3"/>
        <item x="0"/>
        <item t="default"/>
      </items>
    </pivotField>
    <pivotField compact="0" outline="0" showAll="0" includeNewItemsInFilter="1">
      <items count="7">
        <item x="4"/>
        <item x="2"/>
        <item x="5"/>
        <item x="3"/>
        <item x="0"/>
        <item x="1"/>
        <item t="default"/>
      </items>
    </pivotField>
    <pivotField compact="0" outline="0" showAll="0" includeNewItemsInFilter="1">
      <items count="3">
        <item x="1"/>
        <item x="0"/>
        <item t="default"/>
      </items>
    </pivotField>
    <pivotField compact="0" numFmtId="14" outline="0" showAll="0" includeNewItemsInFilter="1">
      <items count="174">
        <item x="155"/>
        <item x="74"/>
        <item x="55"/>
        <item x="79"/>
        <item x="36"/>
        <item x="67"/>
        <item x="38"/>
        <item x="47"/>
        <item x="115"/>
        <item x="4"/>
        <item x="20"/>
        <item x="0"/>
        <item x="111"/>
        <item x="138"/>
        <item x="170"/>
        <item x="148"/>
        <item x="53"/>
        <item x="136"/>
        <item x="121"/>
        <item x="151"/>
        <item x="15"/>
        <item x="24"/>
        <item x="8"/>
        <item x="50"/>
        <item x="140"/>
        <item x="107"/>
        <item x="105"/>
        <item x="48"/>
        <item x="157"/>
        <item x="118"/>
        <item x="145"/>
        <item x="89"/>
        <item x="39"/>
        <item x="141"/>
        <item x="30"/>
        <item x="35"/>
        <item x="135"/>
        <item x="171"/>
        <item x="82"/>
        <item x="76"/>
        <item x="62"/>
        <item x="90"/>
        <item x="117"/>
        <item x="10"/>
        <item x="84"/>
        <item x="78"/>
        <item x="97"/>
        <item x="112"/>
        <item x="56"/>
        <item x="168"/>
        <item x="93"/>
        <item x="159"/>
        <item x="139"/>
        <item x="114"/>
        <item x="125"/>
        <item x="11"/>
        <item x="164"/>
        <item x="101"/>
        <item x="45"/>
        <item x="116"/>
        <item x="149"/>
        <item x="80"/>
        <item x="59"/>
        <item x="132"/>
        <item x="73"/>
        <item x="14"/>
        <item x="37"/>
        <item x="2"/>
        <item x="87"/>
        <item x="99"/>
        <item x="94"/>
        <item x="64"/>
        <item x="75"/>
        <item x="25"/>
        <item x="153"/>
        <item x="120"/>
        <item x="32"/>
        <item x="3"/>
        <item x="137"/>
        <item x="113"/>
        <item x="169"/>
        <item x="102"/>
        <item x="68"/>
        <item x="41"/>
        <item x="154"/>
        <item x="98"/>
        <item x="106"/>
        <item x="18"/>
        <item x="69"/>
        <item x="52"/>
        <item x="85"/>
        <item x="63"/>
        <item x="49"/>
        <item x="26"/>
        <item x="86"/>
        <item x="6"/>
        <item x="122"/>
        <item x="109"/>
        <item x="61"/>
        <item x="5"/>
        <item x="161"/>
        <item x="16"/>
        <item x="95"/>
        <item x="77"/>
        <item x="119"/>
        <item x="29"/>
        <item x="88"/>
        <item x="158"/>
        <item x="96"/>
        <item x="142"/>
        <item x="13"/>
        <item x="71"/>
        <item x="43"/>
        <item x="33"/>
        <item x="108"/>
        <item x="23"/>
        <item x="60"/>
        <item x="167"/>
        <item x="144"/>
        <item x="21"/>
        <item x="163"/>
        <item x="1"/>
        <item x="131"/>
        <item x="17"/>
        <item x="65"/>
        <item x="133"/>
        <item x="81"/>
        <item x="83"/>
        <item x="103"/>
        <item x="172"/>
        <item x="129"/>
        <item x="28"/>
        <item x="91"/>
        <item x="7"/>
        <item x="44"/>
        <item x="40"/>
        <item x="54"/>
        <item x="70"/>
        <item x="128"/>
        <item x="58"/>
        <item x="12"/>
        <item x="31"/>
        <item x="22"/>
        <item x="123"/>
        <item x="57"/>
        <item x="166"/>
        <item x="134"/>
        <item x="165"/>
        <item x="124"/>
        <item x="46"/>
        <item x="42"/>
        <item x="150"/>
        <item x="162"/>
        <item x="146"/>
        <item x="92"/>
        <item x="126"/>
        <item x="110"/>
        <item x="152"/>
        <item x="51"/>
        <item x="156"/>
        <item x="19"/>
        <item x="143"/>
        <item x="127"/>
        <item x="9"/>
        <item x="160"/>
        <item x="72"/>
        <item x="130"/>
        <item x="66"/>
        <item x="104"/>
        <item x="27"/>
        <item x="147"/>
        <item x="34"/>
        <item x="100"/>
        <item t="default"/>
      </items>
    </pivotField>
    <pivotField compact="0" outline="0" showAll="0" includeNewItemsInFilter="1">
      <items count="201">
        <item x="34"/>
        <item x="41"/>
        <item x="91"/>
        <item x="174"/>
        <item x="37"/>
        <item x="192"/>
        <item x="46"/>
        <item x="180"/>
        <item x="156"/>
        <item x="35"/>
        <item x="80"/>
        <item x="55"/>
        <item x="96"/>
        <item x="196"/>
        <item x="163"/>
        <item x="121"/>
        <item h="1" x="105"/>
        <item x="93"/>
        <item x="170"/>
        <item x="84"/>
        <item x="199"/>
        <item x="142"/>
        <item x="72"/>
        <item x="83"/>
        <item x="118"/>
        <item x="125"/>
        <item x="168"/>
        <item x="147"/>
        <item x="110"/>
        <item x="67"/>
        <item x="54"/>
        <item x="78"/>
        <item x="5"/>
        <item x="0"/>
        <item x="176"/>
        <item x="169"/>
        <item x="148"/>
        <item x="89"/>
        <item x="129"/>
        <item x="116"/>
        <item x="130"/>
        <item x="39"/>
        <item x="59"/>
        <item x="191"/>
        <item x="161"/>
        <item x="172"/>
        <item x="115"/>
        <item x="100"/>
        <item x="104"/>
        <item x="53"/>
        <item x="167"/>
        <item x="58"/>
        <item x="12"/>
        <item x="6"/>
        <item x="158"/>
        <item x="198"/>
        <item x="75"/>
        <item x="7"/>
        <item x="153"/>
        <item x="137"/>
        <item x="133"/>
        <item x="165"/>
        <item x="185"/>
        <item x="182"/>
        <item x="184"/>
        <item x="26"/>
        <item x="44"/>
        <item x="71"/>
        <item x="103"/>
        <item x="43"/>
        <item x="111"/>
        <item x="90"/>
        <item x="64"/>
        <item x="164"/>
        <item x="23"/>
        <item x="141"/>
        <item x="171"/>
        <item x="140"/>
        <item x="63"/>
        <item x="29"/>
        <item x="197"/>
        <item x="65"/>
        <item x="188"/>
        <item x="124"/>
        <item x="60"/>
        <item x="143"/>
        <item x="47"/>
        <item x="36"/>
        <item x="173"/>
        <item x="113"/>
        <item x="66"/>
        <item x="42"/>
        <item x="79"/>
        <item x="40"/>
        <item x="94"/>
        <item x="157"/>
        <item x="177"/>
        <item x="45"/>
        <item x="16"/>
        <item x="97"/>
        <item x="154"/>
        <item x="145"/>
        <item x="22"/>
        <item x="18"/>
        <item x="73"/>
        <item x="101"/>
        <item x="181"/>
        <item x="85"/>
        <item x="117"/>
        <item x="11"/>
        <item x="175"/>
        <item x="155"/>
        <item x="86"/>
        <item x="152"/>
        <item x="159"/>
        <item x="15"/>
        <item x="57"/>
        <item x="2"/>
        <item x="30"/>
        <item x="151"/>
        <item x="61"/>
        <item x="19"/>
        <item x="166"/>
        <item x="27"/>
        <item x="193"/>
        <item x="82"/>
        <item x="92"/>
        <item x="106"/>
        <item x="114"/>
        <item x="135"/>
        <item x="33"/>
        <item x="126"/>
        <item x="123"/>
        <item x="69"/>
        <item x="9"/>
        <item x="20"/>
        <item x="149"/>
        <item x="88"/>
        <item x="150"/>
        <item x="4"/>
        <item x="144"/>
        <item x="21"/>
        <item x="112"/>
        <item x="87"/>
        <item x="128"/>
        <item x="162"/>
        <item x="160"/>
        <item x="14"/>
        <item x="107"/>
        <item x="32"/>
        <item x="178"/>
        <item x="31"/>
        <item x="3"/>
        <item x="56"/>
        <item x="179"/>
        <item x="119"/>
        <item x="131"/>
        <item x="74"/>
        <item x="190"/>
        <item x="134"/>
        <item x="76"/>
        <item x="127"/>
        <item x="102"/>
        <item x="10"/>
        <item x="109"/>
        <item x="49"/>
        <item x="38"/>
        <item x="187"/>
        <item x="139"/>
        <item x="95"/>
        <item x="195"/>
        <item x="13"/>
        <item x="183"/>
        <item x="98"/>
        <item x="25"/>
        <item x="186"/>
        <item x="122"/>
        <item x="189"/>
        <item x="8"/>
        <item x="17"/>
        <item x="28"/>
        <item x="48"/>
        <item x="50"/>
        <item x="132"/>
        <item x="138"/>
        <item x="24"/>
        <item x="99"/>
        <item x="70"/>
        <item x="68"/>
        <item x="51"/>
        <item x="136"/>
        <item x="120"/>
        <item x="52"/>
        <item x="108"/>
        <item x="146"/>
        <item x="77"/>
        <item x="81"/>
        <item x="1"/>
        <item x="62"/>
        <item x="194"/>
        <item t="default"/>
      </items>
    </pivotField>
    <pivotField compact="0" outline="0" showAll="0" includeNewItemsInFilter="1">
      <items count="4">
        <item x="0"/>
        <item x="1"/>
        <item x="2"/>
        <item t="default"/>
      </items>
    </pivotField>
    <pivotField compact="0" outline="0" showAll="0" includeNewItemsInFilter="1"/>
  </pivotFields>
  <rowItems count="1">
    <i/>
  </rowItems>
  <colItems count="1">
    <i/>
  </colItems>
  <dataFields count="1">
    <dataField name="Count of customer_id" fld="0"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2F1F70-7BCA-6546-B19F-81FBAC20AB86}" name="PivotTable7" cacheId="2"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chartFormat="26">
  <location ref="A103:B109" firstHeaderRow="2" firstDataRow="2" firstDataCol="1"/>
  <pivotFields count="10">
    <pivotField compact="0" outline="0" showAll="0" includeNewItemsInFilter="1" sortType="ascending">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outline="0" showAll="0" includeNewItemsInFilter="1">
      <items count="108">
        <item x="33"/>
        <item x="11"/>
        <item x="72"/>
        <item x="94"/>
        <item x="97"/>
        <item x="26"/>
        <item x="16"/>
        <item x="24"/>
        <item x="60"/>
        <item x="3"/>
        <item x="4"/>
        <item x="5"/>
        <item x="7"/>
        <item x="27"/>
        <item x="32"/>
        <item x="17"/>
        <item x="37"/>
        <item x="53"/>
        <item x="66"/>
        <item x="78"/>
        <item x="21"/>
        <item x="69"/>
        <item x="52"/>
        <item x="42"/>
        <item x="20"/>
        <item x="28"/>
        <item x="56"/>
        <item x="103"/>
        <item x="13"/>
        <item x="45"/>
        <item x="19"/>
        <item x="30"/>
        <item x="40"/>
        <item x="106"/>
        <item x="18"/>
        <item x="59"/>
        <item x="68"/>
        <item x="10"/>
        <item x="55"/>
        <item x="35"/>
        <item x="34"/>
        <item x="87"/>
        <item x="85"/>
        <item x="36"/>
        <item x="80"/>
        <item x="77"/>
        <item x="99"/>
        <item x="88"/>
        <item x="61"/>
        <item x="38"/>
        <item x="44"/>
        <item x="39"/>
        <item x="95"/>
        <item x="84"/>
        <item x="57"/>
        <item x="62"/>
        <item x="51"/>
        <item x="48"/>
        <item x="50"/>
        <item x="0"/>
        <item x="41"/>
        <item x="90"/>
        <item x="93"/>
        <item x="100"/>
        <item x="9"/>
        <item x="1"/>
        <item x="71"/>
        <item x="70"/>
        <item x="12"/>
        <item x="102"/>
        <item x="104"/>
        <item x="74"/>
        <item x="58"/>
        <item x="64"/>
        <item x="23"/>
        <item x="54"/>
        <item x="65"/>
        <item x="46"/>
        <item x="76"/>
        <item x="81"/>
        <item x="79"/>
        <item x="92"/>
        <item x="105"/>
        <item x="43"/>
        <item x="83"/>
        <item x="6"/>
        <item x="25"/>
        <item x="47"/>
        <item x="82"/>
        <item x="91"/>
        <item x="15"/>
        <item x="73"/>
        <item x="31"/>
        <item x="63"/>
        <item x="67"/>
        <item x="14"/>
        <item x="49"/>
        <item x="75"/>
        <item x="101"/>
        <item x="22"/>
        <item x="29"/>
        <item x="89"/>
        <item x="2"/>
        <item x="98"/>
        <item x="96"/>
        <item x="86"/>
        <item x="8"/>
        <item t="default"/>
      </items>
    </pivotField>
    <pivotField compact="0" outline="0" showAll="0" includeNewItemsInFilter="1">
      <items count="4">
        <item x="1"/>
        <item x="0"/>
        <item x="2"/>
        <item t="default"/>
      </items>
    </pivotField>
    <pivotField axis="axisRow" dataField="1" compact="0" outline="0" showAll="0" includeNewItemsInFilter="1">
      <items count="5">
        <item x="2"/>
        <item x="1"/>
        <item x="3"/>
        <item x="0"/>
        <item t="default"/>
      </items>
    </pivotField>
    <pivotField compact="0" outline="0" showAll="0" includeNewItemsInFilter="1">
      <items count="7">
        <item x="4"/>
        <item x="2"/>
        <item x="5"/>
        <item x="3"/>
        <item x="0"/>
        <item x="1"/>
        <item t="default"/>
      </items>
    </pivotField>
    <pivotField compact="0" outline="0" showAll="0" includeNewItemsInFilter="1">
      <items count="3">
        <item x="1"/>
        <item x="0"/>
        <item t="default"/>
      </items>
    </pivotField>
    <pivotField compact="0" numFmtId="14" outline="0" showAll="0" includeNewItemsInFilter="1">
      <items count="174">
        <item x="155"/>
        <item x="74"/>
        <item x="55"/>
        <item x="79"/>
        <item x="36"/>
        <item x="67"/>
        <item x="38"/>
        <item x="47"/>
        <item x="115"/>
        <item x="4"/>
        <item x="20"/>
        <item x="0"/>
        <item x="111"/>
        <item x="138"/>
        <item x="170"/>
        <item x="148"/>
        <item x="53"/>
        <item x="136"/>
        <item x="121"/>
        <item x="151"/>
        <item x="15"/>
        <item x="24"/>
        <item x="8"/>
        <item x="50"/>
        <item x="140"/>
        <item x="107"/>
        <item x="105"/>
        <item x="48"/>
        <item x="157"/>
        <item x="118"/>
        <item x="145"/>
        <item x="89"/>
        <item x="39"/>
        <item x="141"/>
        <item x="30"/>
        <item x="35"/>
        <item x="135"/>
        <item x="171"/>
        <item x="82"/>
        <item x="76"/>
        <item x="62"/>
        <item x="90"/>
        <item x="117"/>
        <item x="10"/>
        <item x="84"/>
        <item x="78"/>
        <item x="97"/>
        <item x="112"/>
        <item x="56"/>
        <item x="168"/>
        <item x="93"/>
        <item x="159"/>
        <item x="139"/>
        <item x="114"/>
        <item x="125"/>
        <item x="11"/>
        <item x="164"/>
        <item x="101"/>
        <item x="45"/>
        <item x="116"/>
        <item x="149"/>
        <item x="80"/>
        <item x="59"/>
        <item x="132"/>
        <item x="73"/>
        <item x="14"/>
        <item x="37"/>
        <item x="2"/>
        <item x="87"/>
        <item x="99"/>
        <item x="94"/>
        <item x="64"/>
        <item x="75"/>
        <item x="25"/>
        <item x="153"/>
        <item x="120"/>
        <item x="32"/>
        <item x="3"/>
        <item x="137"/>
        <item x="113"/>
        <item x="169"/>
        <item x="102"/>
        <item x="68"/>
        <item x="41"/>
        <item x="154"/>
        <item x="98"/>
        <item x="106"/>
        <item x="18"/>
        <item x="69"/>
        <item x="52"/>
        <item x="85"/>
        <item x="63"/>
        <item x="49"/>
        <item x="26"/>
        <item x="86"/>
        <item x="6"/>
        <item x="122"/>
        <item x="109"/>
        <item x="61"/>
        <item x="5"/>
        <item x="161"/>
        <item x="16"/>
        <item x="95"/>
        <item x="77"/>
        <item x="119"/>
        <item x="29"/>
        <item x="88"/>
        <item x="158"/>
        <item x="96"/>
        <item x="142"/>
        <item x="13"/>
        <item x="71"/>
        <item x="43"/>
        <item x="33"/>
        <item x="108"/>
        <item x="23"/>
        <item x="60"/>
        <item x="167"/>
        <item x="144"/>
        <item x="21"/>
        <item x="163"/>
        <item x="1"/>
        <item x="131"/>
        <item x="17"/>
        <item x="65"/>
        <item x="133"/>
        <item x="81"/>
        <item x="83"/>
        <item x="103"/>
        <item x="172"/>
        <item x="129"/>
        <item x="28"/>
        <item x="91"/>
        <item x="7"/>
        <item x="44"/>
        <item x="40"/>
        <item x="54"/>
        <item x="70"/>
        <item x="128"/>
        <item x="58"/>
        <item x="12"/>
        <item x="31"/>
        <item x="22"/>
        <item x="123"/>
        <item x="57"/>
        <item x="166"/>
        <item x="134"/>
        <item x="165"/>
        <item x="124"/>
        <item x="46"/>
        <item x="42"/>
        <item x="150"/>
        <item x="162"/>
        <item x="146"/>
        <item x="92"/>
        <item x="126"/>
        <item x="110"/>
        <item x="152"/>
        <item x="51"/>
        <item x="156"/>
        <item x="19"/>
        <item x="143"/>
        <item x="127"/>
        <item x="9"/>
        <item x="160"/>
        <item x="72"/>
        <item x="130"/>
        <item x="66"/>
        <item x="104"/>
        <item x="27"/>
        <item x="147"/>
        <item x="34"/>
        <item x="100"/>
        <item t="default"/>
      </items>
    </pivotField>
    <pivotField compact="0" outline="0" showAll="0" includeNewItemsInFilter="1">
      <items count="201">
        <item x="34"/>
        <item x="41"/>
        <item x="91"/>
        <item x="174"/>
        <item x="37"/>
        <item x="192"/>
        <item x="46"/>
        <item x="180"/>
        <item x="156"/>
        <item x="35"/>
        <item x="80"/>
        <item x="55"/>
        <item x="96"/>
        <item x="196"/>
        <item x="163"/>
        <item x="121"/>
        <item h="1" x="105"/>
        <item x="93"/>
        <item x="170"/>
        <item x="84"/>
        <item x="199"/>
        <item x="142"/>
        <item x="72"/>
        <item x="83"/>
        <item x="118"/>
        <item x="125"/>
        <item x="168"/>
        <item x="147"/>
        <item x="110"/>
        <item x="67"/>
        <item x="54"/>
        <item x="78"/>
        <item x="5"/>
        <item x="0"/>
        <item x="176"/>
        <item x="169"/>
        <item x="148"/>
        <item x="89"/>
        <item x="129"/>
        <item x="116"/>
        <item x="130"/>
        <item x="39"/>
        <item x="59"/>
        <item x="191"/>
        <item x="161"/>
        <item x="172"/>
        <item x="115"/>
        <item x="100"/>
        <item x="104"/>
        <item x="53"/>
        <item x="167"/>
        <item x="58"/>
        <item x="12"/>
        <item x="6"/>
        <item x="158"/>
        <item x="198"/>
        <item x="75"/>
        <item x="7"/>
        <item x="153"/>
        <item x="137"/>
        <item x="133"/>
        <item x="165"/>
        <item x="185"/>
        <item x="182"/>
        <item x="184"/>
        <item x="26"/>
        <item x="44"/>
        <item x="71"/>
        <item x="103"/>
        <item x="43"/>
        <item x="111"/>
        <item x="90"/>
        <item x="64"/>
        <item x="164"/>
        <item x="23"/>
        <item x="141"/>
        <item x="171"/>
        <item x="140"/>
        <item x="63"/>
        <item x="29"/>
        <item x="197"/>
        <item x="65"/>
        <item x="188"/>
        <item x="124"/>
        <item x="60"/>
        <item x="143"/>
        <item x="47"/>
        <item x="36"/>
        <item x="173"/>
        <item x="113"/>
        <item x="66"/>
        <item x="42"/>
        <item x="79"/>
        <item x="40"/>
        <item x="94"/>
        <item x="157"/>
        <item x="177"/>
        <item x="45"/>
        <item x="16"/>
        <item x="97"/>
        <item x="154"/>
        <item x="145"/>
        <item x="22"/>
        <item x="18"/>
        <item x="73"/>
        <item x="101"/>
        <item x="181"/>
        <item x="85"/>
        <item x="117"/>
        <item x="11"/>
        <item x="175"/>
        <item x="155"/>
        <item x="86"/>
        <item x="152"/>
        <item x="159"/>
        <item x="15"/>
        <item x="57"/>
        <item x="2"/>
        <item x="30"/>
        <item x="151"/>
        <item x="61"/>
        <item x="19"/>
        <item x="166"/>
        <item x="27"/>
        <item x="193"/>
        <item x="82"/>
        <item x="92"/>
        <item x="106"/>
        <item x="114"/>
        <item x="135"/>
        <item x="33"/>
        <item x="126"/>
        <item x="123"/>
        <item x="69"/>
        <item x="9"/>
        <item x="20"/>
        <item x="149"/>
        <item x="88"/>
        <item x="150"/>
        <item x="4"/>
        <item x="144"/>
        <item x="21"/>
        <item x="112"/>
        <item x="87"/>
        <item x="128"/>
        <item x="162"/>
        <item x="160"/>
        <item x="14"/>
        <item x="107"/>
        <item x="32"/>
        <item x="178"/>
        <item x="31"/>
        <item x="3"/>
        <item x="56"/>
        <item x="179"/>
        <item x="119"/>
        <item x="131"/>
        <item x="74"/>
        <item x="190"/>
        <item x="134"/>
        <item x="76"/>
        <item x="127"/>
        <item x="102"/>
        <item x="10"/>
        <item x="109"/>
        <item x="49"/>
        <item x="38"/>
        <item x="187"/>
        <item x="139"/>
        <item x="95"/>
        <item x="195"/>
        <item x="13"/>
        <item x="183"/>
        <item x="98"/>
        <item x="25"/>
        <item x="186"/>
        <item x="122"/>
        <item x="189"/>
        <item x="8"/>
        <item x="17"/>
        <item x="28"/>
        <item x="48"/>
        <item x="50"/>
        <item x="132"/>
        <item x="138"/>
        <item x="24"/>
        <item x="99"/>
        <item x="70"/>
        <item x="68"/>
        <item x="51"/>
        <item x="136"/>
        <item x="120"/>
        <item x="52"/>
        <item x="108"/>
        <item x="146"/>
        <item x="77"/>
        <item x="81"/>
        <item x="1"/>
        <item x="62"/>
        <item x="194"/>
        <item t="default"/>
      </items>
    </pivotField>
    <pivotField compact="0" outline="0" showAll="0" includeNewItemsInFilter="1">
      <items count="4">
        <item x="0"/>
        <item x="1"/>
        <item x="2"/>
        <item t="default"/>
      </items>
    </pivotField>
    <pivotField compact="0" outline="0" showAll="0" includeNewItemsInFilter="1"/>
  </pivotFields>
  <rowFields count="1">
    <field x="3"/>
  </rowFields>
  <rowItems count="5">
    <i>
      <x/>
    </i>
    <i>
      <x v="1"/>
    </i>
    <i>
      <x v="2"/>
    </i>
    <i>
      <x v="3"/>
    </i>
    <i t="grand">
      <x/>
    </i>
  </rowItems>
  <colItems count="1">
    <i/>
  </colItems>
  <dataFields count="1">
    <dataField name="Count of credit_terms_days" fld="3" subtotal="count" baseField="0" baseItem="0"/>
  </dataFields>
  <formats count="1">
    <format dxfId="40">
      <pivotArea outline="0" collapsedLevelsAreSubtotals="1"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37FE37-5692-A546-A50E-608048F3EE4E}" name="PivotTable5" cacheId="2"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chartFormat="26">
  <location ref="A85:B86" firstHeaderRow="1" firstDataRow="1" firstDataCol="1"/>
  <pivotFields count="10">
    <pivotField compact="0" outline="0" showAll="0" includeNewItemsInFilter="1" sortType="ascending">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outline="0" showAll="0" measureFilter="1" includeNewItemsInFilter="1" sortType="descending">
      <items count="108">
        <item x="33"/>
        <item x="11"/>
        <item x="72"/>
        <item x="94"/>
        <item x="97"/>
        <item x="26"/>
        <item x="16"/>
        <item x="24"/>
        <item x="60"/>
        <item x="3"/>
        <item x="4"/>
        <item x="5"/>
        <item x="7"/>
        <item x="27"/>
        <item x="32"/>
        <item x="17"/>
        <item x="37"/>
        <item x="53"/>
        <item x="66"/>
        <item x="78"/>
        <item x="21"/>
        <item x="69"/>
        <item x="52"/>
        <item x="42"/>
        <item x="20"/>
        <item x="28"/>
        <item x="56"/>
        <item x="103"/>
        <item x="13"/>
        <item x="45"/>
        <item x="19"/>
        <item x="30"/>
        <item x="40"/>
        <item x="106"/>
        <item x="18"/>
        <item x="59"/>
        <item x="68"/>
        <item x="10"/>
        <item x="55"/>
        <item x="35"/>
        <item x="34"/>
        <item x="87"/>
        <item x="85"/>
        <item x="36"/>
        <item x="80"/>
        <item x="77"/>
        <item x="99"/>
        <item x="88"/>
        <item x="61"/>
        <item x="38"/>
        <item x="44"/>
        <item x="39"/>
        <item x="95"/>
        <item x="84"/>
        <item x="57"/>
        <item x="62"/>
        <item x="51"/>
        <item x="48"/>
        <item x="50"/>
        <item x="0"/>
        <item x="41"/>
        <item x="90"/>
        <item x="93"/>
        <item x="100"/>
        <item x="9"/>
        <item x="1"/>
        <item x="71"/>
        <item x="70"/>
        <item x="12"/>
        <item x="102"/>
        <item x="104"/>
        <item x="74"/>
        <item x="58"/>
        <item x="64"/>
        <item x="23"/>
        <item x="54"/>
        <item x="65"/>
        <item x="46"/>
        <item x="76"/>
        <item x="81"/>
        <item x="79"/>
        <item x="92"/>
        <item x="105"/>
        <item x="43"/>
        <item x="83"/>
        <item x="6"/>
        <item x="25"/>
        <item x="47"/>
        <item x="82"/>
        <item x="91"/>
        <item x="15"/>
        <item x="73"/>
        <item x="31"/>
        <item x="63"/>
        <item x="67"/>
        <item x="14"/>
        <item x="49"/>
        <item x="75"/>
        <item x="101"/>
        <item x="22"/>
        <item x="29"/>
        <item x="89"/>
        <item x="2"/>
        <item x="98"/>
        <item x="96"/>
        <item x="86"/>
        <item x="8"/>
        <item t="default"/>
      </items>
      <autoSortScope>
        <pivotArea dataOnly="0" outline="0" fieldPosition="0">
          <references count="1">
            <reference field="4294967294" count="1" selected="0">
              <x v="0"/>
            </reference>
          </references>
        </pivotArea>
      </autoSortScope>
    </pivotField>
    <pivotField compact="0" outline="0" showAll="0" includeNewItemsInFilter="1">
      <items count="4">
        <item x="1"/>
        <item x="0"/>
        <item x="2"/>
        <item t="default"/>
      </items>
    </pivotField>
    <pivotField compact="0" outline="0" showAll="0" includeNewItemsInFilter="1">
      <items count="5">
        <item x="2"/>
        <item x="1"/>
        <item x="3"/>
        <item x="0"/>
        <item t="default"/>
      </items>
    </pivotField>
    <pivotField compact="0" outline="0" showAll="0" includeNewItemsInFilter="1">
      <items count="7">
        <item x="4"/>
        <item x="2"/>
        <item x="5"/>
        <item x="3"/>
        <item x="0"/>
        <item x="1"/>
        <item t="default"/>
      </items>
    </pivotField>
    <pivotField compact="0" outline="0" showAll="0" includeNewItemsInFilter="1">
      <items count="3">
        <item x="1"/>
        <item x="0"/>
        <item t="default"/>
      </items>
    </pivotField>
    <pivotField compact="0" numFmtId="14" outline="0" showAll="0" includeNewItemsInFilter="1">
      <items count="174">
        <item x="155"/>
        <item x="74"/>
        <item x="55"/>
        <item x="79"/>
        <item x="36"/>
        <item x="67"/>
        <item x="38"/>
        <item x="47"/>
        <item x="115"/>
        <item x="4"/>
        <item x="20"/>
        <item x="0"/>
        <item x="111"/>
        <item x="138"/>
        <item x="170"/>
        <item x="148"/>
        <item x="53"/>
        <item x="136"/>
        <item x="121"/>
        <item x="151"/>
        <item x="15"/>
        <item x="24"/>
        <item x="8"/>
        <item x="50"/>
        <item x="140"/>
        <item x="107"/>
        <item x="105"/>
        <item x="48"/>
        <item x="157"/>
        <item x="118"/>
        <item x="145"/>
        <item x="89"/>
        <item x="39"/>
        <item x="141"/>
        <item x="30"/>
        <item x="35"/>
        <item x="135"/>
        <item x="171"/>
        <item x="82"/>
        <item x="76"/>
        <item x="62"/>
        <item x="90"/>
        <item x="117"/>
        <item x="10"/>
        <item x="84"/>
        <item x="78"/>
        <item x="97"/>
        <item x="112"/>
        <item x="56"/>
        <item x="168"/>
        <item x="93"/>
        <item x="159"/>
        <item x="139"/>
        <item x="114"/>
        <item x="125"/>
        <item x="11"/>
        <item x="164"/>
        <item x="101"/>
        <item x="45"/>
        <item x="116"/>
        <item x="149"/>
        <item x="80"/>
        <item x="59"/>
        <item x="132"/>
        <item x="73"/>
        <item x="14"/>
        <item x="37"/>
        <item x="2"/>
        <item x="87"/>
        <item x="99"/>
        <item x="94"/>
        <item x="64"/>
        <item x="75"/>
        <item x="25"/>
        <item x="153"/>
        <item x="120"/>
        <item x="32"/>
        <item x="3"/>
        <item x="137"/>
        <item x="113"/>
        <item x="169"/>
        <item x="102"/>
        <item x="68"/>
        <item x="41"/>
        <item x="154"/>
        <item x="98"/>
        <item x="106"/>
        <item x="18"/>
        <item x="69"/>
        <item x="52"/>
        <item x="85"/>
        <item x="63"/>
        <item x="49"/>
        <item x="26"/>
        <item x="86"/>
        <item x="6"/>
        <item x="122"/>
        <item x="109"/>
        <item x="61"/>
        <item x="5"/>
        <item x="161"/>
        <item x="16"/>
        <item x="95"/>
        <item x="77"/>
        <item x="119"/>
        <item x="29"/>
        <item x="88"/>
        <item x="158"/>
        <item x="96"/>
        <item x="142"/>
        <item x="13"/>
        <item x="71"/>
        <item x="43"/>
        <item x="33"/>
        <item x="108"/>
        <item x="23"/>
        <item x="60"/>
        <item x="167"/>
        <item x="144"/>
        <item x="21"/>
        <item x="163"/>
        <item x="1"/>
        <item x="131"/>
        <item x="17"/>
        <item x="65"/>
        <item x="133"/>
        <item x="81"/>
        <item x="83"/>
        <item x="103"/>
        <item x="172"/>
        <item x="129"/>
        <item x="28"/>
        <item x="91"/>
        <item x="7"/>
        <item x="44"/>
        <item x="40"/>
        <item x="54"/>
        <item x="70"/>
        <item x="128"/>
        <item x="58"/>
        <item x="12"/>
        <item x="31"/>
        <item x="22"/>
        <item x="123"/>
        <item x="57"/>
        <item x="166"/>
        <item x="134"/>
        <item x="165"/>
        <item x="124"/>
        <item x="46"/>
        <item x="42"/>
        <item x="150"/>
        <item x="162"/>
        <item x="146"/>
        <item x="92"/>
        <item x="126"/>
        <item x="110"/>
        <item x="152"/>
        <item x="51"/>
        <item x="156"/>
        <item x="19"/>
        <item x="143"/>
        <item x="127"/>
        <item x="9"/>
        <item x="160"/>
        <item x="72"/>
        <item x="130"/>
        <item x="66"/>
        <item x="104"/>
        <item x="27"/>
        <item x="147"/>
        <item x="34"/>
        <item x="100"/>
        <item t="default"/>
      </items>
    </pivotField>
    <pivotField dataField="1" compact="0" outline="0" showAll="0" includeNewItemsInFilter="1">
      <items count="201">
        <item x="34"/>
        <item x="41"/>
        <item x="91"/>
        <item x="174"/>
        <item x="37"/>
        <item x="192"/>
        <item x="46"/>
        <item x="180"/>
        <item x="156"/>
        <item x="35"/>
        <item x="80"/>
        <item x="55"/>
        <item x="96"/>
        <item x="196"/>
        <item x="163"/>
        <item x="121"/>
        <item h="1" x="105"/>
        <item x="93"/>
        <item x="170"/>
        <item x="84"/>
        <item x="199"/>
        <item x="142"/>
        <item x="72"/>
        <item x="83"/>
        <item x="118"/>
        <item x="125"/>
        <item x="168"/>
        <item x="147"/>
        <item x="110"/>
        <item x="67"/>
        <item x="54"/>
        <item x="78"/>
        <item x="5"/>
        <item x="0"/>
        <item x="176"/>
        <item x="169"/>
        <item x="148"/>
        <item x="89"/>
        <item x="129"/>
        <item x="116"/>
        <item x="130"/>
        <item x="39"/>
        <item x="59"/>
        <item x="191"/>
        <item x="161"/>
        <item x="172"/>
        <item x="115"/>
        <item x="100"/>
        <item x="104"/>
        <item x="53"/>
        <item x="167"/>
        <item x="58"/>
        <item x="12"/>
        <item x="6"/>
        <item x="158"/>
        <item x="198"/>
        <item x="75"/>
        <item x="7"/>
        <item x="153"/>
        <item x="137"/>
        <item x="133"/>
        <item x="165"/>
        <item x="185"/>
        <item x="182"/>
        <item x="184"/>
        <item x="26"/>
        <item x="44"/>
        <item x="71"/>
        <item x="103"/>
        <item x="43"/>
        <item x="111"/>
        <item x="90"/>
        <item x="64"/>
        <item x="164"/>
        <item x="23"/>
        <item x="141"/>
        <item x="171"/>
        <item x="140"/>
        <item x="63"/>
        <item x="29"/>
        <item x="197"/>
        <item x="65"/>
        <item x="188"/>
        <item x="124"/>
        <item x="60"/>
        <item x="143"/>
        <item x="47"/>
        <item x="36"/>
        <item x="173"/>
        <item x="113"/>
        <item x="66"/>
        <item x="42"/>
        <item x="79"/>
        <item x="40"/>
        <item x="94"/>
        <item x="157"/>
        <item x="177"/>
        <item x="45"/>
        <item x="16"/>
        <item x="97"/>
        <item x="154"/>
        <item x="145"/>
        <item x="22"/>
        <item x="18"/>
        <item x="73"/>
        <item x="101"/>
        <item x="181"/>
        <item x="85"/>
        <item x="117"/>
        <item x="11"/>
        <item x="175"/>
        <item x="155"/>
        <item x="86"/>
        <item x="152"/>
        <item x="159"/>
        <item x="15"/>
        <item x="57"/>
        <item x="2"/>
        <item x="30"/>
        <item x="151"/>
        <item x="61"/>
        <item x="19"/>
        <item x="166"/>
        <item x="27"/>
        <item x="193"/>
        <item x="82"/>
        <item x="92"/>
        <item x="106"/>
        <item x="114"/>
        <item x="135"/>
        <item x="33"/>
        <item x="126"/>
        <item x="123"/>
        <item x="69"/>
        <item x="9"/>
        <item x="20"/>
        <item x="149"/>
        <item x="88"/>
        <item x="150"/>
        <item x="4"/>
        <item x="144"/>
        <item x="21"/>
        <item x="112"/>
        <item x="87"/>
        <item x="128"/>
        <item x="162"/>
        <item x="160"/>
        <item x="14"/>
        <item x="107"/>
        <item x="32"/>
        <item x="178"/>
        <item x="31"/>
        <item x="3"/>
        <item x="56"/>
        <item x="179"/>
        <item x="119"/>
        <item x="131"/>
        <item x="74"/>
        <item x="190"/>
        <item x="134"/>
        <item x="76"/>
        <item x="127"/>
        <item x="102"/>
        <item x="10"/>
        <item x="109"/>
        <item x="49"/>
        <item x="38"/>
        <item x="187"/>
        <item x="139"/>
        <item x="95"/>
        <item x="195"/>
        <item x="13"/>
        <item x="183"/>
        <item x="98"/>
        <item x="25"/>
        <item x="186"/>
        <item x="122"/>
        <item x="189"/>
        <item x="8"/>
        <item x="17"/>
        <item x="28"/>
        <item x="48"/>
        <item x="50"/>
        <item x="132"/>
        <item x="138"/>
        <item x="24"/>
        <item x="99"/>
        <item x="70"/>
        <item x="68"/>
        <item x="51"/>
        <item x="136"/>
        <item x="120"/>
        <item x="52"/>
        <item x="108"/>
        <item x="146"/>
        <item x="77"/>
        <item x="81"/>
        <item x="1"/>
        <item x="62"/>
        <item x="194"/>
        <item t="default"/>
      </items>
    </pivotField>
    <pivotField compact="0" outline="0" showAll="0" includeNewItemsInFilter="1">
      <items count="4">
        <item x="0"/>
        <item x="1"/>
        <item x="2"/>
        <item t="default"/>
      </items>
    </pivotField>
    <pivotField compact="0" outline="0" showAll="0" includeNewItemsInFilter="1"/>
  </pivotFields>
  <rowItems count="1">
    <i/>
  </rowItems>
  <colItems count="1">
    <i/>
  </colItems>
  <dataFields count="1">
    <dataField name="Average of annual_revenue_potential" fld="7" subtotal="average" baseField="0" baseItem="0" numFmtId="165"/>
  </dataFields>
  <formats count="1">
    <format dxfId="41">
      <pivotArea outline="0" collapsedLevelsAreSubtotals="1" fieldPosition="0"/>
    </format>
  </formats>
  <pivotTableStyleInfo showRowHeaders="1" showColHeaders="1" showRowStripes="0" showColStripes="0" showLastColumn="1"/>
  <filters count="1">
    <filter fld="1" type="count" evalOrder="-1" id="20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D3A57A-131A-F64C-9E6A-3FA46080DD94}" name="PivotTable6" cacheId="2"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chartFormat="26">
  <location ref="A93:B94" firstHeaderRow="1" firstDataRow="1" firstDataCol="1"/>
  <pivotFields count="10">
    <pivotField compact="0" outline="0" showAll="0" includeNewItemsInFilter="1" sortType="ascending">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outline="0" showAll="0" measureFilter="1" includeNewItemsInFilter="1" sortType="descending">
      <items count="108">
        <item x="33"/>
        <item x="11"/>
        <item x="72"/>
        <item x="94"/>
        <item x="97"/>
        <item x="26"/>
        <item x="16"/>
        <item x="24"/>
        <item x="60"/>
        <item x="3"/>
        <item x="4"/>
        <item x="5"/>
        <item x="7"/>
        <item x="27"/>
        <item x="32"/>
        <item x="17"/>
        <item x="37"/>
        <item x="53"/>
        <item x="66"/>
        <item x="78"/>
        <item x="21"/>
        <item x="69"/>
        <item x="52"/>
        <item x="42"/>
        <item x="20"/>
        <item x="28"/>
        <item x="56"/>
        <item x="103"/>
        <item x="13"/>
        <item x="45"/>
        <item x="19"/>
        <item x="30"/>
        <item x="40"/>
        <item x="106"/>
        <item x="18"/>
        <item x="59"/>
        <item x="68"/>
        <item x="10"/>
        <item x="55"/>
        <item x="35"/>
        <item x="34"/>
        <item x="87"/>
        <item x="85"/>
        <item x="36"/>
        <item x="80"/>
        <item x="77"/>
        <item x="99"/>
        <item x="88"/>
        <item x="61"/>
        <item x="38"/>
        <item x="44"/>
        <item x="39"/>
        <item x="95"/>
        <item x="84"/>
        <item x="57"/>
        <item x="62"/>
        <item x="51"/>
        <item x="48"/>
        <item x="50"/>
        <item x="0"/>
        <item x="41"/>
        <item x="90"/>
        <item x="93"/>
        <item x="100"/>
        <item x="9"/>
        <item x="1"/>
        <item x="71"/>
        <item x="70"/>
        <item x="12"/>
        <item x="102"/>
        <item x="104"/>
        <item x="74"/>
        <item x="58"/>
        <item x="64"/>
        <item x="23"/>
        <item x="54"/>
        <item x="65"/>
        <item x="46"/>
        <item x="76"/>
        <item x="81"/>
        <item x="79"/>
        <item x="92"/>
        <item x="105"/>
        <item x="43"/>
        <item x="83"/>
        <item x="6"/>
        <item x="25"/>
        <item x="47"/>
        <item x="82"/>
        <item x="91"/>
        <item x="15"/>
        <item x="73"/>
        <item x="31"/>
        <item x="63"/>
        <item x="67"/>
        <item x="14"/>
        <item x="49"/>
        <item x="75"/>
        <item x="101"/>
        <item x="22"/>
        <item x="29"/>
        <item x="89"/>
        <item x="2"/>
        <item x="98"/>
        <item x="96"/>
        <item x="86"/>
        <item x="8"/>
        <item t="default"/>
      </items>
      <autoSortScope>
        <pivotArea dataOnly="0" outline="0" fieldPosition="0">
          <references count="1">
            <reference field="4294967294" count="1" selected="0">
              <x v="0"/>
            </reference>
          </references>
        </pivotArea>
      </autoSortScope>
    </pivotField>
    <pivotField compact="0" outline="0" showAll="0" includeNewItemsInFilter="1">
      <items count="4">
        <item x="1"/>
        <item x="0"/>
        <item x="2"/>
        <item t="default"/>
      </items>
    </pivotField>
    <pivotField compact="0" outline="0" showAll="0" includeNewItemsInFilter="1">
      <items count="5">
        <item x="2"/>
        <item x="1"/>
        <item x="3"/>
        <item x="0"/>
        <item t="default"/>
      </items>
    </pivotField>
    <pivotField compact="0" outline="0" showAll="0" includeNewItemsInFilter="1">
      <items count="7">
        <item x="4"/>
        <item x="2"/>
        <item x="5"/>
        <item x="3"/>
        <item x="0"/>
        <item x="1"/>
        <item t="default"/>
      </items>
    </pivotField>
    <pivotField compact="0" outline="0" showAll="0" includeNewItemsInFilter="1">
      <items count="3">
        <item x="1"/>
        <item x="0"/>
        <item t="default"/>
      </items>
    </pivotField>
    <pivotField compact="0" numFmtId="14" outline="0" showAll="0" includeNewItemsInFilter="1">
      <items count="174">
        <item x="155"/>
        <item x="74"/>
        <item x="55"/>
        <item x="79"/>
        <item x="36"/>
        <item x="67"/>
        <item x="38"/>
        <item x="47"/>
        <item x="115"/>
        <item x="4"/>
        <item x="20"/>
        <item x="0"/>
        <item x="111"/>
        <item x="138"/>
        <item x="170"/>
        <item x="148"/>
        <item x="53"/>
        <item x="136"/>
        <item x="121"/>
        <item x="151"/>
        <item x="15"/>
        <item x="24"/>
        <item x="8"/>
        <item x="50"/>
        <item x="140"/>
        <item x="107"/>
        <item x="105"/>
        <item x="48"/>
        <item x="157"/>
        <item x="118"/>
        <item x="145"/>
        <item x="89"/>
        <item x="39"/>
        <item x="141"/>
        <item x="30"/>
        <item x="35"/>
        <item x="135"/>
        <item x="171"/>
        <item x="82"/>
        <item x="76"/>
        <item x="62"/>
        <item x="90"/>
        <item x="117"/>
        <item x="10"/>
        <item x="84"/>
        <item x="78"/>
        <item x="97"/>
        <item x="112"/>
        <item x="56"/>
        <item x="168"/>
        <item x="93"/>
        <item x="159"/>
        <item x="139"/>
        <item x="114"/>
        <item x="125"/>
        <item x="11"/>
        <item x="164"/>
        <item x="101"/>
        <item x="45"/>
        <item x="116"/>
        <item x="149"/>
        <item x="80"/>
        <item x="59"/>
        <item x="132"/>
        <item x="73"/>
        <item x="14"/>
        <item x="37"/>
        <item x="2"/>
        <item x="87"/>
        <item x="99"/>
        <item x="94"/>
        <item x="64"/>
        <item x="75"/>
        <item x="25"/>
        <item x="153"/>
        <item x="120"/>
        <item x="32"/>
        <item x="3"/>
        <item x="137"/>
        <item x="113"/>
        <item x="169"/>
        <item x="102"/>
        <item x="68"/>
        <item x="41"/>
        <item x="154"/>
        <item x="98"/>
        <item x="106"/>
        <item x="18"/>
        <item x="69"/>
        <item x="52"/>
        <item x="85"/>
        <item x="63"/>
        <item x="49"/>
        <item x="26"/>
        <item x="86"/>
        <item x="6"/>
        <item x="122"/>
        <item x="109"/>
        <item x="61"/>
        <item x="5"/>
        <item x="161"/>
        <item x="16"/>
        <item x="95"/>
        <item x="77"/>
        <item x="119"/>
        <item x="29"/>
        <item x="88"/>
        <item x="158"/>
        <item x="96"/>
        <item x="142"/>
        <item x="13"/>
        <item x="71"/>
        <item x="43"/>
        <item x="33"/>
        <item x="108"/>
        <item x="23"/>
        <item x="60"/>
        <item x="167"/>
        <item x="144"/>
        <item x="21"/>
        <item x="163"/>
        <item x="1"/>
        <item x="131"/>
        <item x="17"/>
        <item x="65"/>
        <item x="133"/>
        <item x="81"/>
        <item x="83"/>
        <item x="103"/>
        <item x="172"/>
        <item x="129"/>
        <item x="28"/>
        <item x="91"/>
        <item x="7"/>
        <item x="44"/>
        <item x="40"/>
        <item x="54"/>
        <item x="70"/>
        <item x="128"/>
        <item x="58"/>
        <item x="12"/>
        <item x="31"/>
        <item x="22"/>
        <item x="123"/>
        <item x="57"/>
        <item x="166"/>
        <item x="134"/>
        <item x="165"/>
        <item x="124"/>
        <item x="46"/>
        <item x="42"/>
        <item x="150"/>
        <item x="162"/>
        <item x="146"/>
        <item x="92"/>
        <item x="126"/>
        <item x="110"/>
        <item x="152"/>
        <item x="51"/>
        <item x="156"/>
        <item x="19"/>
        <item x="143"/>
        <item x="127"/>
        <item x="9"/>
        <item x="160"/>
        <item x="72"/>
        <item x="130"/>
        <item x="66"/>
        <item x="104"/>
        <item x="27"/>
        <item x="147"/>
        <item x="34"/>
        <item x="100"/>
        <item t="default"/>
      </items>
    </pivotField>
    <pivotField dataField="1" compact="0" outline="0" showAll="0" includeNewItemsInFilter="1">
      <items count="201">
        <item x="34"/>
        <item x="41"/>
        <item x="91"/>
        <item x="174"/>
        <item x="37"/>
        <item x="192"/>
        <item x="46"/>
        <item x="180"/>
        <item x="156"/>
        <item x="35"/>
        <item x="80"/>
        <item x="55"/>
        <item x="96"/>
        <item x="196"/>
        <item x="163"/>
        <item x="121"/>
        <item h="1" x="105"/>
        <item x="93"/>
        <item x="170"/>
        <item x="84"/>
        <item x="199"/>
        <item x="142"/>
        <item x="72"/>
        <item x="83"/>
        <item x="118"/>
        <item x="125"/>
        <item x="168"/>
        <item x="147"/>
        <item x="110"/>
        <item x="67"/>
        <item x="54"/>
        <item x="78"/>
        <item x="5"/>
        <item x="0"/>
        <item x="176"/>
        <item x="169"/>
        <item x="148"/>
        <item x="89"/>
        <item x="129"/>
        <item x="116"/>
        <item x="130"/>
        <item x="39"/>
        <item x="59"/>
        <item x="191"/>
        <item x="161"/>
        <item x="172"/>
        <item x="115"/>
        <item x="100"/>
        <item x="104"/>
        <item x="53"/>
        <item x="167"/>
        <item x="58"/>
        <item x="12"/>
        <item x="6"/>
        <item x="158"/>
        <item x="198"/>
        <item x="75"/>
        <item x="7"/>
        <item x="153"/>
        <item x="137"/>
        <item x="133"/>
        <item x="165"/>
        <item x="185"/>
        <item x="182"/>
        <item x="184"/>
        <item x="26"/>
        <item x="44"/>
        <item x="71"/>
        <item x="103"/>
        <item x="43"/>
        <item x="111"/>
        <item x="90"/>
        <item x="64"/>
        <item x="164"/>
        <item x="23"/>
        <item x="141"/>
        <item x="171"/>
        <item x="140"/>
        <item x="63"/>
        <item x="29"/>
        <item x="197"/>
        <item x="65"/>
        <item x="188"/>
        <item x="124"/>
        <item x="60"/>
        <item x="143"/>
        <item x="47"/>
        <item x="36"/>
        <item x="173"/>
        <item x="113"/>
        <item x="66"/>
        <item x="42"/>
        <item x="79"/>
        <item x="40"/>
        <item x="94"/>
        <item x="157"/>
        <item x="177"/>
        <item x="45"/>
        <item x="16"/>
        <item x="97"/>
        <item x="154"/>
        <item x="145"/>
        <item x="22"/>
        <item x="18"/>
        <item x="73"/>
        <item x="101"/>
        <item x="181"/>
        <item x="85"/>
        <item x="117"/>
        <item x="11"/>
        <item x="175"/>
        <item x="155"/>
        <item x="86"/>
        <item x="152"/>
        <item x="159"/>
        <item x="15"/>
        <item x="57"/>
        <item x="2"/>
        <item x="30"/>
        <item x="151"/>
        <item x="61"/>
        <item x="19"/>
        <item x="166"/>
        <item x="27"/>
        <item x="193"/>
        <item x="82"/>
        <item x="92"/>
        <item x="106"/>
        <item x="114"/>
        <item x="135"/>
        <item x="33"/>
        <item x="126"/>
        <item x="123"/>
        <item x="69"/>
        <item x="9"/>
        <item x="20"/>
        <item x="149"/>
        <item x="88"/>
        <item x="150"/>
        <item x="4"/>
        <item x="144"/>
        <item x="21"/>
        <item x="112"/>
        <item x="87"/>
        <item x="128"/>
        <item x="162"/>
        <item x="160"/>
        <item x="14"/>
        <item x="107"/>
        <item x="32"/>
        <item x="178"/>
        <item x="31"/>
        <item x="3"/>
        <item x="56"/>
        <item x="179"/>
        <item x="119"/>
        <item x="131"/>
        <item x="74"/>
        <item x="190"/>
        <item x="134"/>
        <item x="76"/>
        <item x="127"/>
        <item x="102"/>
        <item x="10"/>
        <item x="109"/>
        <item x="49"/>
        <item x="38"/>
        <item x="187"/>
        <item x="139"/>
        <item x="95"/>
        <item x="195"/>
        <item x="13"/>
        <item x="183"/>
        <item x="98"/>
        <item x="25"/>
        <item x="186"/>
        <item x="122"/>
        <item x="189"/>
        <item x="8"/>
        <item x="17"/>
        <item x="28"/>
        <item x="48"/>
        <item x="50"/>
        <item x="132"/>
        <item x="138"/>
        <item x="24"/>
        <item x="99"/>
        <item x="70"/>
        <item x="68"/>
        <item x="51"/>
        <item x="136"/>
        <item x="120"/>
        <item x="52"/>
        <item x="108"/>
        <item x="146"/>
        <item x="77"/>
        <item x="81"/>
        <item x="1"/>
        <item x="62"/>
        <item x="194"/>
        <item t="default"/>
      </items>
    </pivotField>
    <pivotField compact="0" outline="0" showAll="0" includeNewItemsInFilter="1">
      <items count="4">
        <item x="0"/>
        <item x="1"/>
        <item x="2"/>
        <item t="default"/>
      </items>
    </pivotField>
    <pivotField compact="0" outline="0" showAll="0" includeNewItemsInFilter="1"/>
  </pivotFields>
  <rowItems count="1">
    <i/>
  </rowItems>
  <colItems count="1">
    <i/>
  </colItems>
  <dataFields count="1">
    <dataField name="Sum of annual_revenue_potential" fld="7" baseField="0" baseItem="0" numFmtId="165"/>
  </dataFields>
  <formats count="1">
    <format dxfId="42">
      <pivotArea outline="0" collapsedLevelsAreSubtotals="1" fieldPosition="0"/>
    </format>
  </formats>
  <pivotTableStyleInfo showRowHeaders="1" showColHeaders="1" showRowStripes="0" showColStripes="0" showLastColumn="1"/>
  <filters count="1">
    <filter fld="1" type="count" evalOrder="-1" id="20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9F8015-DF68-4BD3-8CBE-3161231A81FA}" name="PivotTable9" cacheId="2"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chartFormat="26">
  <location ref="A124:G138" firstHeaderRow="2" firstDataRow="2" firstDataCol="1"/>
  <pivotFields count="10">
    <pivotField compact="0" outline="0" showAll="0" includeNewItemsInFilter="1" sortType="ascending">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outline="0" showAll="0" includeNewItemsInFilter="1">
      <items count="108">
        <item x="33"/>
        <item x="11"/>
        <item x="72"/>
        <item x="94"/>
        <item x="97"/>
        <item x="26"/>
        <item x="16"/>
        <item x="24"/>
        <item x="60"/>
        <item x="3"/>
        <item x="4"/>
        <item x="5"/>
        <item x="7"/>
        <item x="27"/>
        <item x="32"/>
        <item x="17"/>
        <item x="37"/>
        <item x="53"/>
        <item x="66"/>
        <item x="78"/>
        <item x="21"/>
        <item x="69"/>
        <item x="52"/>
        <item x="42"/>
        <item x="20"/>
        <item x="28"/>
        <item x="56"/>
        <item x="103"/>
        <item x="13"/>
        <item x="45"/>
        <item x="19"/>
        <item x="30"/>
        <item x="40"/>
        <item x="106"/>
        <item x="18"/>
        <item x="59"/>
        <item x="68"/>
        <item x="10"/>
        <item x="55"/>
        <item x="35"/>
        <item x="34"/>
        <item x="87"/>
        <item x="85"/>
        <item x="36"/>
        <item x="80"/>
        <item x="77"/>
        <item x="99"/>
        <item x="88"/>
        <item x="61"/>
        <item x="38"/>
        <item x="44"/>
        <item x="39"/>
        <item x="95"/>
        <item x="84"/>
        <item x="57"/>
        <item x="62"/>
        <item x="51"/>
        <item x="48"/>
        <item x="50"/>
        <item x="0"/>
        <item x="41"/>
        <item x="90"/>
        <item x="93"/>
        <item x="100"/>
        <item x="9"/>
        <item x="1"/>
        <item x="71"/>
        <item x="70"/>
        <item x="12"/>
        <item x="102"/>
        <item x="104"/>
        <item x="74"/>
        <item x="58"/>
        <item x="64"/>
        <item x="23"/>
        <item x="54"/>
        <item x="65"/>
        <item x="46"/>
        <item x="76"/>
        <item x="81"/>
        <item x="79"/>
        <item x="92"/>
        <item x="105"/>
        <item x="43"/>
        <item x="83"/>
        <item x="6"/>
        <item x="25"/>
        <item x="47"/>
        <item x="82"/>
        <item x="91"/>
        <item x="15"/>
        <item x="73"/>
        <item x="31"/>
        <item x="63"/>
        <item x="67"/>
        <item x="14"/>
        <item x="49"/>
        <item x="75"/>
        <item x="101"/>
        <item x="22"/>
        <item x="29"/>
        <item x="89"/>
        <item x="2"/>
        <item x="98"/>
        <item x="96"/>
        <item x="86"/>
        <item x="8"/>
        <item t="default"/>
      </items>
    </pivotField>
    <pivotField compact="0" outline="0" showAll="0" includeNewItemsInFilter="1">
      <items count="4">
        <item x="1"/>
        <item x="0"/>
        <item x="2"/>
        <item t="default"/>
      </items>
    </pivotField>
    <pivotField compact="0" outline="0" showAll="0" includeNewItemsInFilter="1">
      <items count="5">
        <item x="2"/>
        <item x="1"/>
        <item x="3"/>
        <item x="0"/>
        <item t="default"/>
      </items>
    </pivotField>
    <pivotField compact="0" outline="0" showAll="0" includeNewItemsInFilter="1">
      <items count="7">
        <item x="4"/>
        <item x="2"/>
        <item x="5"/>
        <item x="3"/>
        <item x="0"/>
        <item x="1"/>
        <item t="default"/>
      </items>
    </pivotField>
    <pivotField compact="0" outline="0" showAll="0" includeNewItemsInFilter="1">
      <items count="3">
        <item x="1"/>
        <item x="0"/>
        <item t="default"/>
      </items>
    </pivotField>
    <pivotField compact="0" numFmtId="14" outline="0" showAll="0" includeNewItemsInFilter="1">
      <items count="174">
        <item x="155"/>
        <item x="74"/>
        <item x="55"/>
        <item x="79"/>
        <item x="36"/>
        <item x="67"/>
        <item x="38"/>
        <item x="47"/>
        <item x="115"/>
        <item x="4"/>
        <item x="20"/>
        <item x="0"/>
        <item x="111"/>
        <item x="138"/>
        <item x="170"/>
        <item x="148"/>
        <item x="53"/>
        <item x="136"/>
        <item x="121"/>
        <item x="151"/>
        <item x="15"/>
        <item x="24"/>
        <item x="8"/>
        <item x="50"/>
        <item x="140"/>
        <item x="107"/>
        <item x="105"/>
        <item x="48"/>
        <item x="157"/>
        <item x="118"/>
        <item x="145"/>
        <item x="89"/>
        <item x="39"/>
        <item x="141"/>
        <item x="30"/>
        <item x="35"/>
        <item x="135"/>
        <item x="171"/>
        <item x="82"/>
        <item x="76"/>
        <item x="62"/>
        <item x="90"/>
        <item x="117"/>
        <item x="10"/>
        <item x="84"/>
        <item x="78"/>
        <item x="97"/>
        <item x="112"/>
        <item x="56"/>
        <item x="168"/>
        <item x="93"/>
        <item x="159"/>
        <item x="139"/>
        <item x="114"/>
        <item x="125"/>
        <item x="11"/>
        <item x="164"/>
        <item x="101"/>
        <item x="45"/>
        <item x="116"/>
        <item x="149"/>
        <item x="80"/>
        <item x="59"/>
        <item x="132"/>
        <item x="73"/>
        <item x="14"/>
        <item x="37"/>
        <item x="2"/>
        <item x="87"/>
        <item x="99"/>
        <item x="94"/>
        <item x="64"/>
        <item x="75"/>
        <item x="25"/>
        <item x="153"/>
        <item x="120"/>
        <item x="32"/>
        <item x="3"/>
        <item x="137"/>
        <item x="113"/>
        <item x="169"/>
        <item x="102"/>
        <item x="68"/>
        <item x="41"/>
        <item x="154"/>
        <item x="98"/>
        <item x="106"/>
        <item x="18"/>
        <item x="69"/>
        <item x="52"/>
        <item x="85"/>
        <item x="63"/>
        <item x="49"/>
        <item x="26"/>
        <item x="86"/>
        <item x="6"/>
        <item x="122"/>
        <item x="109"/>
        <item x="61"/>
        <item x="5"/>
        <item x="161"/>
        <item x="16"/>
        <item x="95"/>
        <item x="77"/>
        <item x="119"/>
        <item x="29"/>
        <item x="88"/>
        <item x="158"/>
        <item x="96"/>
        <item x="142"/>
        <item x="13"/>
        <item x="71"/>
        <item x="43"/>
        <item x="33"/>
        <item x="108"/>
        <item x="23"/>
        <item x="60"/>
        <item x="167"/>
        <item x="144"/>
        <item x="21"/>
        <item x="163"/>
        <item x="1"/>
        <item x="131"/>
        <item x="17"/>
        <item x="65"/>
        <item x="133"/>
        <item x="81"/>
        <item x="83"/>
        <item x="103"/>
        <item x="172"/>
        <item x="129"/>
        <item x="28"/>
        <item x="91"/>
        <item x="7"/>
        <item x="44"/>
        <item x="40"/>
        <item x="54"/>
        <item x="70"/>
        <item x="128"/>
        <item x="58"/>
        <item x="12"/>
        <item x="31"/>
        <item x="22"/>
        <item x="123"/>
        <item x="57"/>
        <item x="166"/>
        <item x="134"/>
        <item x="165"/>
        <item x="124"/>
        <item x="46"/>
        <item x="42"/>
        <item x="150"/>
        <item x="162"/>
        <item x="146"/>
        <item x="92"/>
        <item x="126"/>
        <item x="110"/>
        <item x="152"/>
        <item x="51"/>
        <item x="156"/>
        <item x="19"/>
        <item x="143"/>
        <item x="127"/>
        <item x="9"/>
        <item x="160"/>
        <item x="72"/>
        <item x="130"/>
        <item x="66"/>
        <item x="104"/>
        <item x="27"/>
        <item x="147"/>
        <item x="34"/>
        <item x="100"/>
        <item t="default"/>
      </items>
    </pivotField>
    <pivotField compact="0" outline="0" showAll="0" includeNewItemsInFilter="1">
      <items count="201">
        <item x="34"/>
        <item x="41"/>
        <item x="91"/>
        <item x="174"/>
        <item x="37"/>
        <item x="192"/>
        <item x="46"/>
        <item x="180"/>
        <item x="156"/>
        <item x="35"/>
        <item x="80"/>
        <item x="55"/>
        <item x="96"/>
        <item x="196"/>
        <item x="163"/>
        <item x="121"/>
        <item h="1" x="105"/>
        <item x="93"/>
        <item x="170"/>
        <item x="84"/>
        <item x="199"/>
        <item x="142"/>
        <item x="72"/>
        <item x="83"/>
        <item x="118"/>
        <item x="125"/>
        <item x="168"/>
        <item x="147"/>
        <item x="110"/>
        <item x="67"/>
        <item x="54"/>
        <item x="78"/>
        <item x="5"/>
        <item x="0"/>
        <item x="176"/>
        <item x="169"/>
        <item x="148"/>
        <item x="89"/>
        <item x="129"/>
        <item x="116"/>
        <item x="130"/>
        <item x="39"/>
        <item x="59"/>
        <item x="191"/>
        <item x="161"/>
        <item x="172"/>
        <item x="115"/>
        <item x="100"/>
        <item x="104"/>
        <item x="53"/>
        <item x="167"/>
        <item x="58"/>
        <item x="12"/>
        <item x="6"/>
        <item x="158"/>
        <item x="198"/>
        <item x="75"/>
        <item x="7"/>
        <item x="153"/>
        <item x="137"/>
        <item x="133"/>
        <item x="165"/>
        <item x="185"/>
        <item x="182"/>
        <item x="184"/>
        <item x="26"/>
        <item x="44"/>
        <item x="71"/>
        <item x="103"/>
        <item x="43"/>
        <item x="111"/>
        <item x="90"/>
        <item x="64"/>
        <item x="164"/>
        <item x="23"/>
        <item x="141"/>
        <item x="171"/>
        <item x="140"/>
        <item x="63"/>
        <item x="29"/>
        <item x="197"/>
        <item x="65"/>
        <item x="188"/>
        <item x="124"/>
        <item x="60"/>
        <item x="143"/>
        <item x="47"/>
        <item x="36"/>
        <item x="173"/>
        <item x="113"/>
        <item x="66"/>
        <item x="42"/>
        <item x="79"/>
        <item x="40"/>
        <item x="94"/>
        <item x="157"/>
        <item x="177"/>
        <item x="45"/>
        <item x="16"/>
        <item x="97"/>
        <item x="154"/>
        <item x="145"/>
        <item x="22"/>
        <item x="18"/>
        <item x="73"/>
        <item x="101"/>
        <item x="181"/>
        <item x="85"/>
        <item x="117"/>
        <item x="11"/>
        <item x="175"/>
        <item x="155"/>
        <item x="86"/>
        <item x="152"/>
        <item x="159"/>
        <item x="15"/>
        <item x="57"/>
        <item x="2"/>
        <item x="30"/>
        <item x="151"/>
        <item x="61"/>
        <item x="19"/>
        <item x="166"/>
        <item x="27"/>
        <item x="193"/>
        <item x="82"/>
        <item x="92"/>
        <item x="106"/>
        <item x="114"/>
        <item x="135"/>
        <item x="33"/>
        <item x="126"/>
        <item x="123"/>
        <item x="69"/>
        <item x="9"/>
        <item x="20"/>
        <item x="149"/>
        <item x="88"/>
        <item x="150"/>
        <item x="4"/>
        <item x="144"/>
        <item x="21"/>
        <item x="112"/>
        <item x="87"/>
        <item x="128"/>
        <item x="162"/>
        <item x="160"/>
        <item x="14"/>
        <item x="107"/>
        <item x="32"/>
        <item x="178"/>
        <item x="31"/>
        <item x="3"/>
        <item x="56"/>
        <item x="179"/>
        <item x="119"/>
        <item x="131"/>
        <item x="74"/>
        <item x="190"/>
        <item x="134"/>
        <item x="76"/>
        <item x="127"/>
        <item x="102"/>
        <item x="10"/>
        <item x="109"/>
        <item x="49"/>
        <item x="38"/>
        <item x="187"/>
        <item x="139"/>
        <item x="95"/>
        <item x="195"/>
        <item x="13"/>
        <item x="183"/>
        <item x="98"/>
        <item x="25"/>
        <item x="186"/>
        <item x="122"/>
        <item x="189"/>
        <item x="8"/>
        <item x="17"/>
        <item x="28"/>
        <item x="48"/>
        <item x="50"/>
        <item x="132"/>
        <item x="138"/>
        <item x="24"/>
        <item x="99"/>
        <item x="70"/>
        <item x="68"/>
        <item x="51"/>
        <item x="136"/>
        <item x="120"/>
        <item x="52"/>
        <item x="108"/>
        <item x="146"/>
        <item x="77"/>
        <item x="81"/>
        <item x="1"/>
        <item x="62"/>
        <item x="194"/>
        <item t="default"/>
      </items>
    </pivotField>
    <pivotField compact="0" outline="0" showAll="0" includeNewItemsInFilter="1">
      <items count="4">
        <item x="0"/>
        <item x="1"/>
        <item x="2"/>
        <item t="default"/>
      </items>
    </pivotField>
    <pivotField axis="axisRow" compact="0" outline="0" showAll="0" includeNewItemsInFilter="1">
      <items count="13">
        <item x="11"/>
        <item x="0"/>
        <item x="5"/>
        <item x="7"/>
        <item x="9"/>
        <item x="1"/>
        <item x="4"/>
        <item x="6"/>
        <item x="2"/>
        <item x="10"/>
        <item x="3"/>
        <item x="8"/>
        <item t="default"/>
      </items>
    </pivotField>
  </pivotFields>
  <rowFields count="1">
    <field x="9"/>
  </rowFields>
  <rowItems count="13">
    <i>
      <x/>
    </i>
    <i>
      <x v="1"/>
    </i>
    <i>
      <x v="2"/>
    </i>
    <i>
      <x v="3"/>
    </i>
    <i>
      <x v="4"/>
    </i>
    <i>
      <x v="5"/>
    </i>
    <i>
      <x v="6"/>
    </i>
    <i>
      <x v="7"/>
    </i>
    <i>
      <x v="8"/>
    </i>
    <i>
      <x v="9"/>
    </i>
    <i>
      <x v="10"/>
    </i>
    <i>
      <x v="11"/>
    </i>
    <i t="grand">
      <x/>
    </i>
  </rowItems>
  <colItems count="1">
    <i/>
  </colItems>
  <formats count="1">
    <format dxfId="43">
      <pivotArea outline="0" collapsedLevelsAreSubtotals="1"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8744B1F-1990-4FCB-92D8-372FABB95E01}" sourceName="year">
  <pivotTables>
    <pivotTable tabId="2" name="PivotTable2"/>
    <pivotTable tabId="2" name="PivotTable1"/>
    <pivotTable tabId="2" name="PivotTable3"/>
    <pivotTable tabId="2" name="PivotTable4"/>
    <pivotTable tabId="2" name="PivotTable19"/>
    <pivotTable tabId="2" name="PivotTable5"/>
    <pivotTable tabId="2" name="PivotTable6"/>
    <pivotTable tabId="2" name="PivotTable7"/>
    <pivotTable tabId="2" name="PivotTable8"/>
    <pivotTable tabId="2" name="PivotTable9"/>
  </pivotTables>
  <data>
    <tabular pivotCacheId="174245822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freight_type" xr10:uid="{40C16D98-55A0-4F65-95F4-496E619BDCF2}" sourceName="primary_freight_type">
  <pivotTables>
    <pivotTable tabId="2" name="PivotTable1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742458226">
      <items count="6">
        <i x="4" s="1"/>
        <i x="2" s="1"/>
        <i x="5"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status" xr10:uid="{4424A410-E8C6-49BC-851F-34CFFA686A88}" sourceName="account_status">
  <pivotTables>
    <pivotTable tabId="2" name="PivotTable1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74245822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terms_days" xr10:uid="{C0642EDC-25C1-FE4D-BBAE-50457482E5BB}" sourceName="credit_terms_days">
  <pivotTables>
    <pivotTable tabId="2" name="PivotTable7"/>
    <pivotTable tabId="2" name="PivotTable1"/>
    <pivotTable tabId="2" name="PivotTable19"/>
    <pivotTable tabId="2" name="PivotTable2"/>
    <pivotTable tabId="2" name="PivotTable3"/>
    <pivotTable tabId="2" name="PivotTable4"/>
    <pivotTable tabId="2" name="PivotTable5"/>
    <pivotTable tabId="2" name="PivotTable6"/>
    <pivotTable tabId="2" name="PivotTable8"/>
    <pivotTable tabId="2" name="PivotTable9"/>
  </pivotTables>
  <data>
    <tabular pivotCacheId="1742458226" sortOrder="descending">
      <items count="4">
        <i x="0" s="1"/>
        <i x="3"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9CBA682-16CC-41F6-BCE3-7BD43CA41F30}" sourceName="month">
  <pivotTables>
    <pivotTable tabId="2" name="PivotTable9"/>
  </pivotTables>
  <data>
    <tabular pivotCacheId="1742458226">
      <items count="12">
        <i x="11" s="1"/>
        <i x="0" s="1"/>
        <i x="5" s="1"/>
        <i x="7" s="1"/>
        <i x="9" s="1"/>
        <i x="1" s="1"/>
        <i x="4" s="1"/>
        <i x="6" s="1"/>
        <i x="2" s="1"/>
        <i x="10" s="1"/>
        <i x="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8E7B820-B960-4F55-AEC9-3F36A2E1CA68}" cache="Slicer_year" caption="year" rowHeight="257175"/>
  <slicer name="year 1" xr10:uid="{7971D4AB-964D-474A-877C-EA161884C359}" cache="Slicer_year" caption="year" rowHeight="257175"/>
  <slicer name="primary_freight_type" xr10:uid="{6CD042CF-0EAA-4D31-8C32-6246C2BDA3E9}" cache="Slicer_primary_freight_type" caption="primary_freight_type" rowHeight="257175"/>
  <slicer name="account_status" xr10:uid="{3077930F-AC84-4960-8305-F3F30FE5C43E}" cache="Slicer_account_status" caption="account_status" rowHeight="257175"/>
  <slicer name="credit_terms_days" xr10:uid="{01142AAD-6EC1-4540-9D7E-B723A2283A40}" cache="Slicer_credit_terms_days" caption="credit_terms_days" rowHeight="251883"/>
  <slicer name="month" xr10:uid="{5AD1DCF0-9785-44CB-8BC0-458EE6FF1FD3}" cache="Slicer_month" caption="month"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FA5F2226-A890-4EC5-A33C-003FA237A7DC}" cache="Slicer_year" caption="year" style="SlicerStyleOther1" rowHeight="257175"/>
  <slicer name="primary_freight_type 3" xr10:uid="{352506BE-FAE6-764A-A172-768E0A375E39}" cache="Slicer_primary_freight_type" caption="primary_freight_type" style="SlicerStyleLight3" rowHeight="257175"/>
  <slicer name="account_status 1" xr10:uid="{4A99BAC6-2344-6845-9441-CA2A80459D63}" cache="Slicer_account_status" caption="account_status" style="SlicerStyleOther1" rowHeight="257175"/>
  <slicer name="credit_terms_days 1" xr10:uid="{E2A9521D-7D38-7F49-AB40-3E132A12A605}" cache="Slicer_credit_terms_days" caption="credit_terms_days" style="SlicerStyleOther1" rowHeight="251883"/>
  <slicer name="month 1" xr10:uid="{F7514A02-26E8-4EDA-B618-BB030DBB6364}" cache="Slicer_month" caption="month" style="SlicerStyleOth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C45DA8-2FB8-4C3C-AD52-94BF130D5062}" name="Table2" displayName="Table2" ref="A1:J201" totalsRowShown="0">
  <autoFilter ref="A1:J201" xr:uid="{56C45DA8-2FB8-4C3C-AD52-94BF130D5062}"/>
  <tableColumns count="10">
    <tableColumn id="1" xr3:uid="{0B50AB6A-0621-418F-BA99-7A7D0AF66F92}" name="customer_id"/>
    <tableColumn id="2" xr3:uid="{E6530A54-6C14-4ABE-8414-5A694C602D02}" name="customer_name"/>
    <tableColumn id="3" xr3:uid="{F6EF9AF2-A61C-46FC-8D74-DA64DF63AFDE}" name="customer_type"/>
    <tableColumn id="4" xr3:uid="{0EE1D3BF-2502-42B6-9F1E-C975913092AC}" name="credit_terms_days"/>
    <tableColumn id="5" xr3:uid="{F4A0D74E-E2DB-48F3-95E4-3709491D8FBD}" name="primary_freight_type"/>
    <tableColumn id="6" xr3:uid="{52B949FD-063E-4877-99D1-B6276986DCA8}" name="account_status"/>
    <tableColumn id="7" xr3:uid="{66175606-2073-43CE-8E8F-E965F3B7C128}" name="contract_start_date" dataDxfId="46"/>
    <tableColumn id="8" xr3:uid="{A41A71F8-700C-4B81-8F73-B2232D633471}" name="annual_revenue_potential"/>
    <tableColumn id="9" xr3:uid="{80371871-8956-4B22-9EC1-3FABD421A30D}" name="year" dataDxfId="45">
      <calculatedColumnFormula>TEXT(G2,"yyyy")</calculatedColumnFormula>
    </tableColumn>
    <tableColumn id="10" xr3:uid="{1ABFD910-F37C-47D6-96E3-27A872DA5BB2}" name="month" dataDxfId="44">
      <calculatedColumnFormula>TEXT(G2,"mmmm")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ntract_start_date" xr10:uid="{908015CC-7E7A-441C-895A-8C9A234312F1}" sourceName="contract_start_date">
  <pivotTables>
    <pivotTable tabId="2" name="PivotTable1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state minimalRefreshVersion="6" lastRefreshVersion="6" pivotCacheId="1742458226"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ract_start_date" xr10:uid="{73D0F2D9-4411-4972-8E56-E9F56A9AAE6B}" cache="NativeTimeline_contract_start_date" caption="contract_start_date" level="2" selectionLevel="2"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ract_start_date 1" xr10:uid="{CA21E270-D236-42DA-A19A-FD65E5BCEE89}" cache="NativeTimeline_contract_start_date" caption="contract_start_date" level="2" selectionLevel="2" scrollPosition="2022-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E1FCB-2A0B-44A3-B7BA-77E586B963CC}">
  <dimension ref="A1:L201"/>
  <sheetViews>
    <sheetView workbookViewId="0">
      <selection activeCell="L13" sqref="L13"/>
    </sheetView>
  </sheetViews>
  <sheetFormatPr baseColWidth="10" defaultColWidth="8.83203125" defaultRowHeight="16" x14ac:dyDescent="0.2"/>
  <cols>
    <col min="1" max="1" width="13.33203125" customWidth="1"/>
    <col min="2" max="2" width="16.5" customWidth="1"/>
    <col min="3" max="3" width="15.6640625" customWidth="1"/>
    <col min="4" max="4" width="18.5" customWidth="1"/>
    <col min="5" max="5" width="21.1640625" customWidth="1"/>
    <col min="6" max="6" width="15.6640625" customWidth="1"/>
    <col min="7" max="7" width="19.83203125" customWidth="1"/>
    <col min="8" max="8" width="25.5" customWidth="1"/>
    <col min="9" max="256" width="11" customWidth="1"/>
  </cols>
  <sheetData>
    <row r="1" spans="1:12" x14ac:dyDescent="0.2">
      <c r="A1" t="s">
        <v>0</v>
      </c>
      <c r="B1" t="s">
        <v>1</v>
      </c>
      <c r="C1" t="s">
        <v>2</v>
      </c>
      <c r="D1" t="s">
        <v>3</v>
      </c>
      <c r="E1" t="s">
        <v>4</v>
      </c>
      <c r="F1" t="s">
        <v>5</v>
      </c>
      <c r="G1" t="s">
        <v>6</v>
      </c>
      <c r="H1" t="s">
        <v>7</v>
      </c>
      <c r="I1" t="s">
        <v>326</v>
      </c>
      <c r="J1" t="s">
        <v>327</v>
      </c>
    </row>
    <row r="2" spans="1:12" x14ac:dyDescent="0.2">
      <c r="A2" t="s">
        <v>8</v>
      </c>
      <c r="B2" t="s">
        <v>9</v>
      </c>
      <c r="C2" t="s">
        <v>10</v>
      </c>
      <c r="D2">
        <v>60</v>
      </c>
      <c r="E2" t="s">
        <v>11</v>
      </c>
      <c r="F2" t="s">
        <v>12</v>
      </c>
      <c r="G2" s="1">
        <v>43881</v>
      </c>
      <c r="H2">
        <v>985117</v>
      </c>
      <c r="I2" t="str">
        <f t="shared" ref="I2:I33" si="0">TEXT(G2,"yyyy")</f>
        <v>2020</v>
      </c>
      <c r="J2" t="str">
        <f t="shared" ref="J2:J33" si="1">TEXT(G2,"mmmm")</f>
        <v>February</v>
      </c>
    </row>
    <row r="3" spans="1:12" x14ac:dyDescent="0.2">
      <c r="A3" t="s">
        <v>13</v>
      </c>
      <c r="B3" t="s">
        <v>14</v>
      </c>
      <c r="C3" t="s">
        <v>15</v>
      </c>
      <c r="D3">
        <v>30</v>
      </c>
      <c r="E3" t="s">
        <v>16</v>
      </c>
      <c r="F3" t="s">
        <v>17</v>
      </c>
      <c r="G3" s="1">
        <v>44349</v>
      </c>
      <c r="H3">
        <v>4936566</v>
      </c>
      <c r="I3" t="str">
        <f t="shared" si="0"/>
        <v>2021</v>
      </c>
      <c r="J3" t="str">
        <f t="shared" si="1"/>
        <v>June</v>
      </c>
    </row>
    <row r="4" spans="1:12" x14ac:dyDescent="0.2">
      <c r="A4" t="s">
        <v>18</v>
      </c>
      <c r="B4" t="s">
        <v>19</v>
      </c>
      <c r="C4" t="s">
        <v>15</v>
      </c>
      <c r="D4">
        <v>30</v>
      </c>
      <c r="E4" t="s">
        <v>20</v>
      </c>
      <c r="F4" t="s">
        <v>17</v>
      </c>
      <c r="G4" s="1">
        <v>44078</v>
      </c>
      <c r="H4">
        <v>3102814</v>
      </c>
      <c r="I4" t="str">
        <f t="shared" si="0"/>
        <v>2020</v>
      </c>
      <c r="J4" t="str">
        <f t="shared" si="1"/>
        <v>September</v>
      </c>
    </row>
    <row r="5" spans="1:12" x14ac:dyDescent="0.2">
      <c r="A5" t="s">
        <v>21</v>
      </c>
      <c r="B5" t="s">
        <v>22</v>
      </c>
      <c r="C5" t="s">
        <v>15</v>
      </c>
      <c r="D5">
        <v>15</v>
      </c>
      <c r="E5" t="s">
        <v>23</v>
      </c>
      <c r="F5" t="s">
        <v>17</v>
      </c>
      <c r="G5" s="1">
        <v>44164</v>
      </c>
      <c r="H5">
        <v>3948027</v>
      </c>
      <c r="I5" t="str">
        <f t="shared" si="0"/>
        <v>2020</v>
      </c>
      <c r="J5" t="str">
        <f t="shared" si="1"/>
        <v>November</v>
      </c>
    </row>
    <row r="6" spans="1:12" x14ac:dyDescent="0.2">
      <c r="A6" t="s">
        <v>24</v>
      </c>
      <c r="B6" t="s">
        <v>25</v>
      </c>
      <c r="C6" t="s">
        <v>26</v>
      </c>
      <c r="D6">
        <v>45</v>
      </c>
      <c r="E6" t="s">
        <v>20</v>
      </c>
      <c r="F6" t="s">
        <v>17</v>
      </c>
      <c r="G6" s="1">
        <v>43865</v>
      </c>
      <c r="H6">
        <v>3682564</v>
      </c>
      <c r="I6" t="str">
        <f t="shared" si="0"/>
        <v>2020</v>
      </c>
      <c r="J6" t="str">
        <f t="shared" si="1"/>
        <v>February</v>
      </c>
    </row>
    <row r="7" spans="1:12" x14ac:dyDescent="0.2">
      <c r="A7" t="s">
        <v>27</v>
      </c>
      <c r="B7" t="s">
        <v>28</v>
      </c>
      <c r="C7" t="s">
        <v>10</v>
      </c>
      <c r="D7">
        <v>30</v>
      </c>
      <c r="E7" t="s">
        <v>20</v>
      </c>
      <c r="F7" t="s">
        <v>17</v>
      </c>
      <c r="G7" s="1">
        <v>44243</v>
      </c>
      <c r="H7">
        <v>973274</v>
      </c>
      <c r="I7" t="str">
        <f t="shared" si="0"/>
        <v>2021</v>
      </c>
      <c r="J7" t="str">
        <f t="shared" si="1"/>
        <v>February</v>
      </c>
    </row>
    <row r="8" spans="1:12" x14ac:dyDescent="0.2">
      <c r="A8" t="s">
        <v>29</v>
      </c>
      <c r="B8" t="s">
        <v>30</v>
      </c>
      <c r="C8" t="s">
        <v>26</v>
      </c>
      <c r="D8">
        <v>30</v>
      </c>
      <c r="E8" t="s">
        <v>23</v>
      </c>
      <c r="F8" t="s">
        <v>17</v>
      </c>
      <c r="G8" s="1">
        <v>44232</v>
      </c>
      <c r="H8">
        <v>1499297</v>
      </c>
      <c r="I8" t="str">
        <f t="shared" si="0"/>
        <v>2021</v>
      </c>
      <c r="J8" t="str">
        <f t="shared" si="1"/>
        <v>February</v>
      </c>
    </row>
    <row r="9" spans="1:12" x14ac:dyDescent="0.2">
      <c r="A9" t="s">
        <v>31</v>
      </c>
      <c r="B9" t="s">
        <v>32</v>
      </c>
      <c r="C9" t="s">
        <v>15</v>
      </c>
      <c r="D9">
        <v>30</v>
      </c>
      <c r="E9" t="s">
        <v>33</v>
      </c>
      <c r="F9" t="s">
        <v>12</v>
      </c>
      <c r="G9" s="1">
        <v>44400</v>
      </c>
      <c r="H9">
        <v>1613275</v>
      </c>
      <c r="I9" t="str">
        <f t="shared" si="0"/>
        <v>2021</v>
      </c>
      <c r="J9" t="str">
        <f t="shared" si="1"/>
        <v>July</v>
      </c>
    </row>
    <row r="10" spans="1:12" x14ac:dyDescent="0.2">
      <c r="A10" t="s">
        <v>34</v>
      </c>
      <c r="B10" t="s">
        <v>35</v>
      </c>
      <c r="C10" t="s">
        <v>15</v>
      </c>
      <c r="D10">
        <v>30</v>
      </c>
      <c r="E10" t="s">
        <v>16</v>
      </c>
      <c r="F10" t="s">
        <v>12</v>
      </c>
      <c r="G10" s="1">
        <v>43918</v>
      </c>
      <c r="H10">
        <v>4713444</v>
      </c>
      <c r="I10" t="str">
        <f t="shared" si="0"/>
        <v>2020</v>
      </c>
      <c r="J10" t="str">
        <f t="shared" si="1"/>
        <v>March</v>
      </c>
    </row>
    <row r="11" spans="1:12" x14ac:dyDescent="0.2">
      <c r="A11" t="s">
        <v>36</v>
      </c>
      <c r="B11" t="s">
        <v>37</v>
      </c>
      <c r="C11" t="s">
        <v>10</v>
      </c>
      <c r="D11">
        <v>45</v>
      </c>
      <c r="E11" t="s">
        <v>33</v>
      </c>
      <c r="F11" t="s">
        <v>17</v>
      </c>
      <c r="G11" s="1">
        <v>44519</v>
      </c>
      <c r="H11">
        <v>3468505</v>
      </c>
      <c r="I11" t="str">
        <f t="shared" si="0"/>
        <v>2021</v>
      </c>
      <c r="J11" t="str">
        <f t="shared" si="1"/>
        <v>November</v>
      </c>
    </row>
    <row r="12" spans="1:12" x14ac:dyDescent="0.2">
      <c r="A12" t="s">
        <v>38</v>
      </c>
      <c r="B12" t="s">
        <v>39</v>
      </c>
      <c r="C12" t="s">
        <v>10</v>
      </c>
      <c r="D12">
        <v>15</v>
      </c>
      <c r="E12" t="s">
        <v>40</v>
      </c>
      <c r="F12" t="s">
        <v>17</v>
      </c>
      <c r="G12" s="1">
        <v>44000</v>
      </c>
      <c r="H12">
        <v>4333669</v>
      </c>
      <c r="I12" t="str">
        <f t="shared" si="0"/>
        <v>2020</v>
      </c>
      <c r="J12" t="str">
        <f t="shared" si="1"/>
        <v>June</v>
      </c>
    </row>
    <row r="13" spans="1:12" x14ac:dyDescent="0.2">
      <c r="A13" t="s">
        <v>41</v>
      </c>
      <c r="B13" t="s">
        <v>42</v>
      </c>
      <c r="C13" t="s">
        <v>10</v>
      </c>
      <c r="D13">
        <v>30</v>
      </c>
      <c r="E13" t="s">
        <v>40</v>
      </c>
      <c r="F13" t="s">
        <v>17</v>
      </c>
      <c r="G13" s="1">
        <v>44029</v>
      </c>
      <c r="H13">
        <v>2931263</v>
      </c>
      <c r="I13" t="str">
        <f t="shared" si="0"/>
        <v>2020</v>
      </c>
      <c r="J13" t="str">
        <f t="shared" si="1"/>
        <v>July</v>
      </c>
      <c r="L13" s="1"/>
    </row>
    <row r="14" spans="1:12" x14ac:dyDescent="0.2">
      <c r="A14" t="s">
        <v>43</v>
      </c>
      <c r="B14" t="s">
        <v>44</v>
      </c>
      <c r="C14" t="s">
        <v>10</v>
      </c>
      <c r="D14">
        <v>60</v>
      </c>
      <c r="E14" t="s">
        <v>11</v>
      </c>
      <c r="F14" t="s">
        <v>17</v>
      </c>
      <c r="G14" s="1">
        <v>44437</v>
      </c>
      <c r="H14">
        <v>1426880</v>
      </c>
      <c r="I14" t="str">
        <f t="shared" si="0"/>
        <v>2021</v>
      </c>
      <c r="J14" t="str">
        <f t="shared" si="1"/>
        <v>August</v>
      </c>
    </row>
    <row r="15" spans="1:12" x14ac:dyDescent="0.2">
      <c r="A15" t="s">
        <v>45</v>
      </c>
      <c r="B15" t="s">
        <v>46</v>
      </c>
      <c r="C15" t="s">
        <v>15</v>
      </c>
      <c r="D15">
        <v>45</v>
      </c>
      <c r="E15" t="s">
        <v>20</v>
      </c>
      <c r="F15" t="s">
        <v>17</v>
      </c>
      <c r="G15" s="1">
        <v>44303</v>
      </c>
      <c r="H15">
        <v>4578681</v>
      </c>
      <c r="I15" t="str">
        <f t="shared" si="0"/>
        <v>2021</v>
      </c>
      <c r="J15" t="str">
        <f t="shared" si="1"/>
        <v>April</v>
      </c>
      <c r="L15" s="1"/>
    </row>
    <row r="16" spans="1:12" x14ac:dyDescent="0.2">
      <c r="A16" t="s">
        <v>47</v>
      </c>
      <c r="B16" t="s">
        <v>39</v>
      </c>
      <c r="C16" t="s">
        <v>26</v>
      </c>
      <c r="D16">
        <v>15</v>
      </c>
      <c r="E16" t="s">
        <v>33</v>
      </c>
      <c r="F16" t="s">
        <v>17</v>
      </c>
      <c r="G16" s="1">
        <v>44070</v>
      </c>
      <c r="H16">
        <v>3816255</v>
      </c>
      <c r="I16" t="str">
        <f t="shared" si="0"/>
        <v>2020</v>
      </c>
      <c r="J16" t="str">
        <f t="shared" si="1"/>
        <v>August</v>
      </c>
    </row>
    <row r="17" spans="1:10" x14ac:dyDescent="0.2">
      <c r="A17" t="s">
        <v>48</v>
      </c>
      <c r="B17" t="s">
        <v>49</v>
      </c>
      <c r="C17" t="s">
        <v>10</v>
      </c>
      <c r="D17">
        <v>60</v>
      </c>
      <c r="E17" t="s">
        <v>23</v>
      </c>
      <c r="F17" t="s">
        <v>17</v>
      </c>
      <c r="G17" s="1">
        <v>43909</v>
      </c>
      <c r="H17">
        <v>3055508</v>
      </c>
      <c r="I17" t="str">
        <f t="shared" si="0"/>
        <v>2020</v>
      </c>
      <c r="J17" t="str">
        <f t="shared" si="1"/>
        <v>March</v>
      </c>
    </row>
    <row r="18" spans="1:10" x14ac:dyDescent="0.2">
      <c r="A18" t="s">
        <v>50</v>
      </c>
      <c r="B18" t="s">
        <v>51</v>
      </c>
      <c r="C18" t="s">
        <v>10</v>
      </c>
      <c r="D18">
        <v>60</v>
      </c>
      <c r="E18" t="s">
        <v>33</v>
      </c>
      <c r="F18" t="s">
        <v>17</v>
      </c>
      <c r="G18" s="1">
        <v>44257</v>
      </c>
      <c r="H18">
        <v>2743711</v>
      </c>
      <c r="I18" t="str">
        <f t="shared" si="0"/>
        <v>2021</v>
      </c>
      <c r="J18" t="str">
        <f t="shared" si="1"/>
        <v>March</v>
      </c>
    </row>
    <row r="19" spans="1:10" x14ac:dyDescent="0.2">
      <c r="A19" t="s">
        <v>52</v>
      </c>
      <c r="B19" t="s">
        <v>53</v>
      </c>
      <c r="C19" t="s">
        <v>10</v>
      </c>
      <c r="D19">
        <v>60</v>
      </c>
      <c r="E19" t="s">
        <v>11</v>
      </c>
      <c r="F19" t="s">
        <v>17</v>
      </c>
      <c r="G19" s="1">
        <v>44359</v>
      </c>
      <c r="H19">
        <v>4714416</v>
      </c>
      <c r="I19" t="str">
        <f t="shared" si="0"/>
        <v>2021</v>
      </c>
      <c r="J19" t="str">
        <f t="shared" si="1"/>
        <v>June</v>
      </c>
    </row>
    <row r="20" spans="1:10" x14ac:dyDescent="0.2">
      <c r="A20" t="s">
        <v>54</v>
      </c>
      <c r="B20" t="s">
        <v>55</v>
      </c>
      <c r="C20" t="s">
        <v>15</v>
      </c>
      <c r="D20">
        <v>30</v>
      </c>
      <c r="E20" t="s">
        <v>16</v>
      </c>
      <c r="F20" t="s">
        <v>17</v>
      </c>
      <c r="G20" s="1">
        <v>44193</v>
      </c>
      <c r="H20">
        <v>2823396</v>
      </c>
      <c r="I20" t="str">
        <f t="shared" si="0"/>
        <v>2020</v>
      </c>
      <c r="J20" t="str">
        <f t="shared" si="1"/>
        <v>December</v>
      </c>
    </row>
    <row r="21" spans="1:10" x14ac:dyDescent="0.2">
      <c r="A21" t="s">
        <v>56</v>
      </c>
      <c r="B21" t="s">
        <v>57</v>
      </c>
      <c r="C21" t="s">
        <v>15</v>
      </c>
      <c r="D21">
        <v>30</v>
      </c>
      <c r="E21" t="s">
        <v>20</v>
      </c>
      <c r="F21" t="s">
        <v>12</v>
      </c>
      <c r="G21" s="1">
        <v>44509</v>
      </c>
      <c r="H21">
        <v>3218209</v>
      </c>
      <c r="I21" t="str">
        <f t="shared" si="0"/>
        <v>2021</v>
      </c>
      <c r="J21" t="str">
        <f t="shared" si="1"/>
        <v>November</v>
      </c>
    </row>
    <row r="22" spans="1:10" x14ac:dyDescent="0.2">
      <c r="A22" t="s">
        <v>58</v>
      </c>
      <c r="B22" t="s">
        <v>59</v>
      </c>
      <c r="C22" t="s">
        <v>10</v>
      </c>
      <c r="D22">
        <v>60</v>
      </c>
      <c r="E22" t="s">
        <v>20</v>
      </c>
      <c r="F22" t="s">
        <v>17</v>
      </c>
      <c r="G22" s="1">
        <v>43880</v>
      </c>
      <c r="H22">
        <v>3558986</v>
      </c>
      <c r="I22" t="str">
        <f t="shared" si="0"/>
        <v>2020</v>
      </c>
      <c r="J22" t="str">
        <f t="shared" si="1"/>
        <v>February</v>
      </c>
    </row>
    <row r="23" spans="1:10" x14ac:dyDescent="0.2">
      <c r="A23" t="s">
        <v>60</v>
      </c>
      <c r="B23" t="s">
        <v>61</v>
      </c>
      <c r="C23" t="s">
        <v>15</v>
      </c>
      <c r="D23">
        <v>15</v>
      </c>
      <c r="E23" t="s">
        <v>33</v>
      </c>
      <c r="F23" t="s">
        <v>17</v>
      </c>
      <c r="G23" s="1">
        <v>44339</v>
      </c>
      <c r="H23">
        <v>3712034</v>
      </c>
      <c r="I23" t="str">
        <f t="shared" si="0"/>
        <v>2021</v>
      </c>
      <c r="J23" t="str">
        <f t="shared" si="1"/>
        <v>May</v>
      </c>
    </row>
    <row r="24" spans="1:10" x14ac:dyDescent="0.2">
      <c r="A24" t="s">
        <v>62</v>
      </c>
      <c r="B24" t="s">
        <v>63</v>
      </c>
      <c r="C24" t="s">
        <v>26</v>
      </c>
      <c r="D24">
        <v>30</v>
      </c>
      <c r="E24" t="s">
        <v>11</v>
      </c>
      <c r="F24" t="s">
        <v>17</v>
      </c>
      <c r="G24" s="1">
        <v>44447</v>
      </c>
      <c r="H24">
        <v>2813302</v>
      </c>
      <c r="I24" t="str">
        <f t="shared" si="0"/>
        <v>2021</v>
      </c>
      <c r="J24" t="str">
        <f t="shared" si="1"/>
        <v>September</v>
      </c>
    </row>
    <row r="25" spans="1:10" x14ac:dyDescent="0.2">
      <c r="A25" t="s">
        <v>64</v>
      </c>
      <c r="B25" t="s">
        <v>65</v>
      </c>
      <c r="C25" t="s">
        <v>15</v>
      </c>
      <c r="D25">
        <v>15</v>
      </c>
      <c r="E25" t="s">
        <v>40</v>
      </c>
      <c r="F25" t="s">
        <v>17</v>
      </c>
      <c r="G25" s="1">
        <v>44321</v>
      </c>
      <c r="H25">
        <v>2119327</v>
      </c>
      <c r="I25" t="str">
        <f t="shared" si="0"/>
        <v>2021</v>
      </c>
      <c r="J25" t="str">
        <f t="shared" si="1"/>
        <v>May</v>
      </c>
    </row>
    <row r="26" spans="1:10" x14ac:dyDescent="0.2">
      <c r="A26" t="s">
        <v>66</v>
      </c>
      <c r="B26" t="s">
        <v>67</v>
      </c>
      <c r="C26" t="s">
        <v>15</v>
      </c>
      <c r="D26">
        <v>30</v>
      </c>
      <c r="E26" t="s">
        <v>23</v>
      </c>
      <c r="F26" t="s">
        <v>12</v>
      </c>
      <c r="G26" s="1">
        <v>43914</v>
      </c>
      <c r="H26">
        <v>4824000</v>
      </c>
      <c r="I26" t="str">
        <f t="shared" si="0"/>
        <v>2020</v>
      </c>
      <c r="J26" t="str">
        <f t="shared" si="1"/>
        <v>March</v>
      </c>
    </row>
    <row r="27" spans="1:10" x14ac:dyDescent="0.2">
      <c r="A27" t="s">
        <v>68</v>
      </c>
      <c r="B27" t="s">
        <v>69</v>
      </c>
      <c r="C27" t="s">
        <v>10</v>
      </c>
      <c r="D27">
        <v>30</v>
      </c>
      <c r="E27" t="s">
        <v>16</v>
      </c>
      <c r="F27" t="s">
        <v>12</v>
      </c>
      <c r="G27" s="1">
        <v>44118</v>
      </c>
      <c r="H27">
        <v>4677044</v>
      </c>
      <c r="I27" t="str">
        <f t="shared" si="0"/>
        <v>2020</v>
      </c>
      <c r="J27" t="str">
        <f t="shared" si="1"/>
        <v>October</v>
      </c>
    </row>
    <row r="28" spans="1:10" x14ac:dyDescent="0.2">
      <c r="A28" t="s">
        <v>70</v>
      </c>
      <c r="B28" t="s">
        <v>71</v>
      </c>
      <c r="C28" t="s">
        <v>26</v>
      </c>
      <c r="D28">
        <v>30</v>
      </c>
      <c r="E28" t="s">
        <v>33</v>
      </c>
      <c r="F28" t="s">
        <v>17</v>
      </c>
      <c r="G28" s="1">
        <v>44230</v>
      </c>
      <c r="H28">
        <v>1894559</v>
      </c>
      <c r="I28" t="str">
        <f t="shared" si="0"/>
        <v>2021</v>
      </c>
      <c r="J28" t="str">
        <f t="shared" si="1"/>
        <v>February</v>
      </c>
    </row>
    <row r="29" spans="1:10" x14ac:dyDescent="0.2">
      <c r="A29" t="s">
        <v>72</v>
      </c>
      <c r="B29" t="s">
        <v>39</v>
      </c>
      <c r="C29" t="s">
        <v>15</v>
      </c>
      <c r="D29">
        <v>15</v>
      </c>
      <c r="E29" t="s">
        <v>33</v>
      </c>
      <c r="F29" t="s">
        <v>17</v>
      </c>
      <c r="G29" s="1">
        <v>44547</v>
      </c>
      <c r="H29">
        <v>3246257</v>
      </c>
      <c r="I29" t="str">
        <f t="shared" si="0"/>
        <v>2021</v>
      </c>
      <c r="J29" t="str">
        <f t="shared" si="1"/>
        <v>December</v>
      </c>
    </row>
    <row r="30" spans="1:10" x14ac:dyDescent="0.2">
      <c r="A30" t="s">
        <v>73</v>
      </c>
      <c r="B30" t="s">
        <v>30</v>
      </c>
      <c r="C30" t="s">
        <v>10</v>
      </c>
      <c r="D30">
        <v>30</v>
      </c>
      <c r="E30" t="s">
        <v>23</v>
      </c>
      <c r="F30" t="s">
        <v>17</v>
      </c>
      <c r="G30" s="1">
        <v>44391</v>
      </c>
      <c r="H30">
        <v>4715736</v>
      </c>
      <c r="I30" t="str">
        <f t="shared" si="0"/>
        <v>2021</v>
      </c>
      <c r="J30" t="str">
        <f t="shared" si="1"/>
        <v>July</v>
      </c>
    </row>
    <row r="31" spans="1:10" x14ac:dyDescent="0.2">
      <c r="A31" t="s">
        <v>74</v>
      </c>
      <c r="B31" t="s">
        <v>75</v>
      </c>
      <c r="C31" t="s">
        <v>26</v>
      </c>
      <c r="D31">
        <v>15</v>
      </c>
      <c r="E31" t="s">
        <v>40</v>
      </c>
      <c r="F31" t="s">
        <v>17</v>
      </c>
      <c r="G31" s="1">
        <v>44280</v>
      </c>
      <c r="H31">
        <v>2231454</v>
      </c>
      <c r="I31" t="str">
        <f t="shared" si="0"/>
        <v>2021</v>
      </c>
      <c r="J31" t="str">
        <f t="shared" si="1"/>
        <v>March</v>
      </c>
    </row>
    <row r="32" spans="1:10" x14ac:dyDescent="0.2">
      <c r="A32" t="s">
        <v>76</v>
      </c>
      <c r="B32" t="s">
        <v>77</v>
      </c>
      <c r="C32" t="s">
        <v>10</v>
      </c>
      <c r="D32">
        <v>30</v>
      </c>
      <c r="E32" t="s">
        <v>33</v>
      </c>
      <c r="F32" t="s">
        <v>17</v>
      </c>
      <c r="G32" s="1">
        <v>43964</v>
      </c>
      <c r="H32">
        <v>3119970</v>
      </c>
      <c r="I32" t="str">
        <f t="shared" si="0"/>
        <v>2020</v>
      </c>
      <c r="J32" t="str">
        <f t="shared" si="1"/>
        <v>May</v>
      </c>
    </row>
    <row r="33" spans="1:10" x14ac:dyDescent="0.2">
      <c r="A33" t="s">
        <v>78</v>
      </c>
      <c r="B33" t="s">
        <v>79</v>
      </c>
      <c r="C33" t="s">
        <v>10</v>
      </c>
      <c r="D33">
        <v>45</v>
      </c>
      <c r="E33" t="s">
        <v>23</v>
      </c>
      <c r="F33" t="s">
        <v>17</v>
      </c>
      <c r="G33" s="1">
        <v>44440</v>
      </c>
      <c r="H33">
        <v>3895035</v>
      </c>
      <c r="I33" t="str">
        <f t="shared" si="0"/>
        <v>2021</v>
      </c>
      <c r="J33" t="str">
        <f t="shared" si="1"/>
        <v>September</v>
      </c>
    </row>
    <row r="34" spans="1:10" x14ac:dyDescent="0.2">
      <c r="A34" t="s">
        <v>80</v>
      </c>
      <c r="B34" t="s">
        <v>81</v>
      </c>
      <c r="C34" t="s">
        <v>15</v>
      </c>
      <c r="D34">
        <v>30</v>
      </c>
      <c r="E34" t="s">
        <v>20</v>
      </c>
      <c r="F34" t="s">
        <v>17</v>
      </c>
      <c r="G34" s="1">
        <v>44157</v>
      </c>
      <c r="H34">
        <v>3853900</v>
      </c>
      <c r="I34" t="str">
        <f t="shared" ref="I34:I65" si="2">TEXT(G34,"yyyy")</f>
        <v>2020</v>
      </c>
      <c r="J34" t="str">
        <f t="shared" ref="J34:J65" si="3">TEXT(G34,"mmmm")</f>
        <v>November</v>
      </c>
    </row>
    <row r="35" spans="1:10" x14ac:dyDescent="0.2">
      <c r="A35" t="s">
        <v>82</v>
      </c>
      <c r="B35" t="s">
        <v>83</v>
      </c>
      <c r="C35" t="s">
        <v>15</v>
      </c>
      <c r="D35">
        <v>60</v>
      </c>
      <c r="E35" t="s">
        <v>20</v>
      </c>
      <c r="F35" t="s">
        <v>17</v>
      </c>
      <c r="G35" s="1">
        <v>44314</v>
      </c>
      <c r="H35">
        <v>3431037</v>
      </c>
      <c r="I35" t="str">
        <f t="shared" si="2"/>
        <v>2021</v>
      </c>
      <c r="J35" t="str">
        <f t="shared" si="3"/>
        <v>April</v>
      </c>
    </row>
    <row r="36" spans="1:10" x14ac:dyDescent="0.2">
      <c r="A36" t="s">
        <v>84</v>
      </c>
      <c r="B36" t="s">
        <v>85</v>
      </c>
      <c r="C36" t="s">
        <v>26</v>
      </c>
      <c r="D36">
        <v>15</v>
      </c>
      <c r="E36" t="s">
        <v>23</v>
      </c>
      <c r="F36" t="s">
        <v>17</v>
      </c>
      <c r="G36" s="1">
        <v>44553</v>
      </c>
      <c r="H36">
        <v>101641</v>
      </c>
      <c r="I36" t="str">
        <f t="shared" si="2"/>
        <v>2021</v>
      </c>
      <c r="J36" t="str">
        <f t="shared" si="3"/>
        <v>December</v>
      </c>
    </row>
    <row r="37" spans="1:10" x14ac:dyDescent="0.2">
      <c r="A37" t="s">
        <v>86</v>
      </c>
      <c r="B37" t="s">
        <v>14</v>
      </c>
      <c r="C37" t="s">
        <v>26</v>
      </c>
      <c r="D37">
        <v>45</v>
      </c>
      <c r="E37" t="s">
        <v>16</v>
      </c>
      <c r="F37" t="s">
        <v>17</v>
      </c>
      <c r="G37" s="1">
        <v>44519</v>
      </c>
      <c r="H37">
        <v>390773</v>
      </c>
      <c r="I37" t="str">
        <f t="shared" si="2"/>
        <v>2021</v>
      </c>
      <c r="J37" t="str">
        <f t="shared" si="3"/>
        <v>November</v>
      </c>
    </row>
    <row r="38" spans="1:10" x14ac:dyDescent="0.2">
      <c r="A38" t="s">
        <v>87</v>
      </c>
      <c r="B38" t="s">
        <v>88</v>
      </c>
      <c r="C38" t="s">
        <v>26</v>
      </c>
      <c r="D38">
        <v>15</v>
      </c>
      <c r="E38" t="s">
        <v>20</v>
      </c>
      <c r="F38" t="s">
        <v>17</v>
      </c>
      <c r="G38" s="1">
        <v>43967</v>
      </c>
      <c r="H38">
        <v>2486409</v>
      </c>
      <c r="I38" t="str">
        <f t="shared" si="2"/>
        <v>2020</v>
      </c>
      <c r="J38" t="str">
        <f t="shared" si="3"/>
        <v>May</v>
      </c>
    </row>
    <row r="39" spans="1:10" x14ac:dyDescent="0.2">
      <c r="A39" t="s">
        <v>89</v>
      </c>
      <c r="B39" t="s">
        <v>61</v>
      </c>
      <c r="C39" t="s">
        <v>10</v>
      </c>
      <c r="D39">
        <v>30</v>
      </c>
      <c r="E39" t="s">
        <v>23</v>
      </c>
      <c r="F39" t="s">
        <v>17</v>
      </c>
      <c r="G39" s="1">
        <v>43855</v>
      </c>
      <c r="H39">
        <v>236754</v>
      </c>
      <c r="I39" t="str">
        <f t="shared" si="2"/>
        <v>2020</v>
      </c>
      <c r="J39" t="str">
        <f t="shared" si="3"/>
        <v>January</v>
      </c>
    </row>
    <row r="40" spans="1:10" x14ac:dyDescent="0.2">
      <c r="A40" t="s">
        <v>90</v>
      </c>
      <c r="B40" t="s">
        <v>35</v>
      </c>
      <c r="C40" t="s">
        <v>15</v>
      </c>
      <c r="D40">
        <v>60</v>
      </c>
      <c r="E40" t="s">
        <v>23</v>
      </c>
      <c r="F40" t="s">
        <v>17</v>
      </c>
      <c r="G40" s="1">
        <v>44076</v>
      </c>
      <c r="H40">
        <v>4442022</v>
      </c>
      <c r="I40" t="str">
        <f t="shared" si="2"/>
        <v>2020</v>
      </c>
      <c r="J40" t="str">
        <f t="shared" si="3"/>
        <v>September</v>
      </c>
    </row>
    <row r="41" spans="1:10" x14ac:dyDescent="0.2">
      <c r="A41" t="s">
        <v>91</v>
      </c>
      <c r="B41" t="s">
        <v>92</v>
      </c>
      <c r="C41" t="s">
        <v>15</v>
      </c>
      <c r="D41">
        <v>60</v>
      </c>
      <c r="E41" t="s">
        <v>20</v>
      </c>
      <c r="F41" t="s">
        <v>17</v>
      </c>
      <c r="G41" s="1">
        <v>43858</v>
      </c>
      <c r="H41">
        <v>1233181</v>
      </c>
      <c r="I41" t="str">
        <f t="shared" si="2"/>
        <v>2020</v>
      </c>
      <c r="J41" t="str">
        <f t="shared" si="3"/>
        <v>January</v>
      </c>
    </row>
    <row r="42" spans="1:10" x14ac:dyDescent="0.2">
      <c r="A42" t="s">
        <v>93</v>
      </c>
      <c r="B42" t="s">
        <v>19</v>
      </c>
      <c r="C42" t="s">
        <v>10</v>
      </c>
      <c r="D42">
        <v>60</v>
      </c>
      <c r="E42" t="s">
        <v>23</v>
      </c>
      <c r="F42" t="s">
        <v>17</v>
      </c>
      <c r="G42" s="1">
        <v>43952</v>
      </c>
      <c r="H42">
        <v>2632031</v>
      </c>
      <c r="I42" t="str">
        <f t="shared" si="2"/>
        <v>2020</v>
      </c>
      <c r="J42" t="str">
        <f t="shared" si="3"/>
        <v>May</v>
      </c>
    </row>
    <row r="43" spans="1:10" x14ac:dyDescent="0.2">
      <c r="A43" t="s">
        <v>94</v>
      </c>
      <c r="B43" t="s">
        <v>22</v>
      </c>
      <c r="C43" t="s">
        <v>10</v>
      </c>
      <c r="D43">
        <v>30</v>
      </c>
      <c r="E43" t="s">
        <v>33</v>
      </c>
      <c r="F43" t="s">
        <v>17</v>
      </c>
      <c r="G43" s="1">
        <v>44404</v>
      </c>
      <c r="H43">
        <v>155103</v>
      </c>
      <c r="I43" t="str">
        <f t="shared" si="2"/>
        <v>2021</v>
      </c>
      <c r="J43" t="str">
        <f t="shared" si="3"/>
        <v>July</v>
      </c>
    </row>
    <row r="44" spans="1:10" x14ac:dyDescent="0.2">
      <c r="A44" t="s">
        <v>95</v>
      </c>
      <c r="B44" t="s">
        <v>96</v>
      </c>
      <c r="C44" t="s">
        <v>26</v>
      </c>
      <c r="D44">
        <v>30</v>
      </c>
      <c r="E44" t="s">
        <v>23</v>
      </c>
      <c r="F44" t="s">
        <v>12</v>
      </c>
      <c r="G44" s="1">
        <v>44182</v>
      </c>
      <c r="H44">
        <v>2619383</v>
      </c>
      <c r="I44" t="str">
        <f t="shared" si="2"/>
        <v>2020</v>
      </c>
      <c r="J44" t="str">
        <f t="shared" si="3"/>
        <v>December</v>
      </c>
    </row>
    <row r="45" spans="1:10" x14ac:dyDescent="0.2">
      <c r="A45" t="s">
        <v>97</v>
      </c>
      <c r="B45" t="s">
        <v>32</v>
      </c>
      <c r="C45" t="s">
        <v>15</v>
      </c>
      <c r="D45">
        <v>60</v>
      </c>
      <c r="E45" t="s">
        <v>23</v>
      </c>
      <c r="F45" t="s">
        <v>17</v>
      </c>
      <c r="G45" s="1">
        <v>44471</v>
      </c>
      <c r="H45">
        <v>1961320</v>
      </c>
      <c r="I45" t="str">
        <f t="shared" si="2"/>
        <v>2021</v>
      </c>
      <c r="J45" t="str">
        <f t="shared" si="3"/>
        <v>October</v>
      </c>
    </row>
    <row r="46" spans="1:10" x14ac:dyDescent="0.2">
      <c r="A46" t="s">
        <v>98</v>
      </c>
      <c r="B46" t="s">
        <v>99</v>
      </c>
      <c r="C46" t="s">
        <v>10</v>
      </c>
      <c r="D46">
        <v>30</v>
      </c>
      <c r="E46" t="s">
        <v>23</v>
      </c>
      <c r="F46" t="s">
        <v>17</v>
      </c>
      <c r="G46" s="1">
        <v>44308</v>
      </c>
      <c r="H46">
        <v>1902064</v>
      </c>
      <c r="I46" t="str">
        <f t="shared" si="2"/>
        <v>2021</v>
      </c>
      <c r="J46" t="str">
        <f t="shared" si="3"/>
        <v>April</v>
      </c>
    </row>
    <row r="47" spans="1:10" x14ac:dyDescent="0.2">
      <c r="A47" t="s">
        <v>100</v>
      </c>
      <c r="B47" t="s">
        <v>101</v>
      </c>
      <c r="C47" t="s">
        <v>10</v>
      </c>
      <c r="D47">
        <v>30</v>
      </c>
      <c r="E47" t="s">
        <v>23</v>
      </c>
      <c r="F47" t="s">
        <v>17</v>
      </c>
      <c r="G47" s="1">
        <v>44401</v>
      </c>
      <c r="H47">
        <v>2741611</v>
      </c>
      <c r="I47" t="str">
        <f t="shared" si="2"/>
        <v>2021</v>
      </c>
      <c r="J47" t="str">
        <f t="shared" si="3"/>
        <v>July</v>
      </c>
    </row>
    <row r="48" spans="1:10" x14ac:dyDescent="0.2">
      <c r="A48" t="s">
        <v>102</v>
      </c>
      <c r="B48" t="s">
        <v>59</v>
      </c>
      <c r="C48" t="s">
        <v>26</v>
      </c>
      <c r="D48">
        <v>45</v>
      </c>
      <c r="E48" t="s">
        <v>40</v>
      </c>
      <c r="F48" t="s">
        <v>12</v>
      </c>
      <c r="G48" s="1">
        <v>44051</v>
      </c>
      <c r="H48">
        <v>282044</v>
      </c>
      <c r="I48" t="str">
        <f t="shared" si="2"/>
        <v>2020</v>
      </c>
      <c r="J48" t="str">
        <f t="shared" si="3"/>
        <v>August</v>
      </c>
    </row>
    <row r="49" spans="1:10" x14ac:dyDescent="0.2">
      <c r="A49" t="s">
        <v>103</v>
      </c>
      <c r="B49" t="s">
        <v>96</v>
      </c>
      <c r="C49" t="s">
        <v>26</v>
      </c>
      <c r="D49">
        <v>30</v>
      </c>
      <c r="E49" t="s">
        <v>33</v>
      </c>
      <c r="F49" t="s">
        <v>17</v>
      </c>
      <c r="G49" s="1">
        <v>44469</v>
      </c>
      <c r="H49">
        <v>2414896</v>
      </c>
      <c r="I49" t="str">
        <f t="shared" si="2"/>
        <v>2021</v>
      </c>
      <c r="J49" t="str">
        <f t="shared" si="3"/>
        <v>September</v>
      </c>
    </row>
    <row r="50" spans="1:10" x14ac:dyDescent="0.2">
      <c r="A50" t="s">
        <v>104</v>
      </c>
      <c r="B50" t="s">
        <v>105</v>
      </c>
      <c r="C50" t="s">
        <v>26</v>
      </c>
      <c r="D50">
        <v>45</v>
      </c>
      <c r="E50" t="s">
        <v>23</v>
      </c>
      <c r="F50" t="s">
        <v>17</v>
      </c>
      <c r="G50" s="1">
        <v>43860</v>
      </c>
      <c r="H50">
        <v>4744463</v>
      </c>
      <c r="I50" t="str">
        <f t="shared" si="2"/>
        <v>2020</v>
      </c>
      <c r="J50" t="str">
        <f t="shared" si="3"/>
        <v>January</v>
      </c>
    </row>
    <row r="51" spans="1:10" x14ac:dyDescent="0.2">
      <c r="A51" t="s">
        <v>106</v>
      </c>
      <c r="B51" t="s">
        <v>107</v>
      </c>
      <c r="C51" t="s">
        <v>26</v>
      </c>
      <c r="D51">
        <v>60</v>
      </c>
      <c r="E51" t="s">
        <v>11</v>
      </c>
      <c r="F51" t="s">
        <v>17</v>
      </c>
      <c r="G51" s="1">
        <v>43929</v>
      </c>
      <c r="H51">
        <v>4388856</v>
      </c>
      <c r="I51" t="str">
        <f t="shared" si="2"/>
        <v>2020</v>
      </c>
      <c r="J51" t="str">
        <f t="shared" si="3"/>
        <v>April</v>
      </c>
    </row>
    <row r="52" spans="1:10" x14ac:dyDescent="0.2">
      <c r="A52" t="s">
        <v>108</v>
      </c>
      <c r="B52" t="s">
        <v>35</v>
      </c>
      <c r="C52" t="s">
        <v>15</v>
      </c>
      <c r="D52">
        <v>15</v>
      </c>
      <c r="E52" t="s">
        <v>11</v>
      </c>
      <c r="F52" t="s">
        <v>12</v>
      </c>
      <c r="G52" s="1">
        <v>44216</v>
      </c>
      <c r="H52">
        <v>4766776</v>
      </c>
      <c r="I52" t="str">
        <f t="shared" si="2"/>
        <v>2021</v>
      </c>
      <c r="J52" t="str">
        <f t="shared" si="3"/>
        <v>January</v>
      </c>
    </row>
    <row r="53" spans="1:10" x14ac:dyDescent="0.2">
      <c r="A53" t="s">
        <v>109</v>
      </c>
      <c r="B53" t="s">
        <v>110</v>
      </c>
      <c r="C53" t="s">
        <v>15</v>
      </c>
      <c r="D53">
        <v>30</v>
      </c>
      <c r="E53" t="s">
        <v>11</v>
      </c>
      <c r="F53" t="s">
        <v>17</v>
      </c>
      <c r="G53" s="1">
        <v>43922</v>
      </c>
      <c r="H53">
        <v>4887111</v>
      </c>
      <c r="I53" t="str">
        <f t="shared" si="2"/>
        <v>2020</v>
      </c>
      <c r="J53" t="str">
        <f t="shared" si="3"/>
        <v>April</v>
      </c>
    </row>
    <row r="54" spans="1:10" x14ac:dyDescent="0.2">
      <c r="A54" t="s">
        <v>111</v>
      </c>
      <c r="B54" t="s">
        <v>112</v>
      </c>
      <c r="C54" t="s">
        <v>26</v>
      </c>
      <c r="D54">
        <v>60</v>
      </c>
      <c r="E54" t="s">
        <v>20</v>
      </c>
      <c r="F54" t="s">
        <v>17</v>
      </c>
      <c r="G54" s="1">
        <v>44501</v>
      </c>
      <c r="H54">
        <v>4895027</v>
      </c>
      <c r="I54" t="str">
        <f t="shared" si="2"/>
        <v>2021</v>
      </c>
      <c r="J54" t="str">
        <f t="shared" si="3"/>
        <v>November</v>
      </c>
    </row>
    <row r="55" spans="1:10" x14ac:dyDescent="0.2">
      <c r="A55" t="s">
        <v>113</v>
      </c>
      <c r="B55" t="s">
        <v>101</v>
      </c>
      <c r="C55" t="s">
        <v>15</v>
      </c>
      <c r="D55">
        <v>60</v>
      </c>
      <c r="E55" t="s">
        <v>20</v>
      </c>
      <c r="F55" t="s">
        <v>17</v>
      </c>
      <c r="G55" s="1">
        <v>44501</v>
      </c>
      <c r="H55">
        <v>1397841</v>
      </c>
      <c r="I55" t="str">
        <f t="shared" si="2"/>
        <v>2021</v>
      </c>
      <c r="J55" t="str">
        <f t="shared" si="3"/>
        <v>November</v>
      </c>
    </row>
    <row r="56" spans="1:10" x14ac:dyDescent="0.2">
      <c r="A56" t="s">
        <v>114</v>
      </c>
      <c r="B56" t="s">
        <v>115</v>
      </c>
      <c r="C56" t="s">
        <v>15</v>
      </c>
      <c r="D56">
        <v>30</v>
      </c>
      <c r="E56" t="s">
        <v>16</v>
      </c>
      <c r="F56" t="s">
        <v>17</v>
      </c>
      <c r="G56" s="1">
        <v>44198</v>
      </c>
      <c r="H56">
        <v>890937</v>
      </c>
      <c r="I56" t="str">
        <f t="shared" si="2"/>
        <v>2021</v>
      </c>
      <c r="J56" t="str">
        <f t="shared" si="3"/>
        <v>January</v>
      </c>
    </row>
    <row r="57" spans="1:10" x14ac:dyDescent="0.2">
      <c r="A57" t="s">
        <v>116</v>
      </c>
      <c r="B57" t="s">
        <v>117</v>
      </c>
      <c r="C57" t="s">
        <v>10</v>
      </c>
      <c r="D57">
        <v>15</v>
      </c>
      <c r="E57" t="s">
        <v>40</v>
      </c>
      <c r="F57" t="s">
        <v>17</v>
      </c>
      <c r="G57" s="1">
        <v>43902</v>
      </c>
      <c r="H57">
        <v>416555</v>
      </c>
      <c r="I57" t="str">
        <f t="shared" si="2"/>
        <v>2020</v>
      </c>
      <c r="J57" t="str">
        <f t="shared" si="3"/>
        <v>March</v>
      </c>
    </row>
    <row r="58" spans="1:10" x14ac:dyDescent="0.2">
      <c r="A58" t="s">
        <v>118</v>
      </c>
      <c r="B58" t="s">
        <v>119</v>
      </c>
      <c r="C58" t="s">
        <v>15</v>
      </c>
      <c r="D58">
        <v>15</v>
      </c>
      <c r="E58" t="s">
        <v>11</v>
      </c>
      <c r="F58" t="s">
        <v>17</v>
      </c>
      <c r="G58" s="1">
        <v>44405</v>
      </c>
      <c r="H58">
        <v>3961861</v>
      </c>
      <c r="I58" t="str">
        <f t="shared" si="2"/>
        <v>2021</v>
      </c>
      <c r="J58" t="str">
        <f t="shared" si="3"/>
        <v>July</v>
      </c>
    </row>
    <row r="59" spans="1:10" x14ac:dyDescent="0.2">
      <c r="A59" t="s">
        <v>120</v>
      </c>
      <c r="B59" t="s">
        <v>71</v>
      </c>
      <c r="C59" t="s">
        <v>15</v>
      </c>
      <c r="D59">
        <v>30</v>
      </c>
      <c r="E59" t="s">
        <v>40</v>
      </c>
      <c r="F59" t="s">
        <v>17</v>
      </c>
      <c r="G59" s="1">
        <v>43844</v>
      </c>
      <c r="H59">
        <v>3083456</v>
      </c>
      <c r="I59" t="str">
        <f t="shared" si="2"/>
        <v>2020</v>
      </c>
      <c r="J59" t="str">
        <f t="shared" si="3"/>
        <v>January</v>
      </c>
    </row>
    <row r="60" spans="1:10" x14ac:dyDescent="0.2">
      <c r="A60" t="s">
        <v>121</v>
      </c>
      <c r="B60" t="s">
        <v>77</v>
      </c>
      <c r="C60" t="s">
        <v>26</v>
      </c>
      <c r="D60">
        <v>60</v>
      </c>
      <c r="E60" t="s">
        <v>11</v>
      </c>
      <c r="F60" t="s">
        <v>17</v>
      </c>
      <c r="G60" s="1">
        <v>44013</v>
      </c>
      <c r="H60">
        <v>1409521</v>
      </c>
      <c r="I60" t="str">
        <f t="shared" si="2"/>
        <v>2020</v>
      </c>
      <c r="J60" t="str">
        <f t="shared" si="3"/>
        <v>July</v>
      </c>
    </row>
    <row r="61" spans="1:10" x14ac:dyDescent="0.2">
      <c r="A61" t="s">
        <v>122</v>
      </c>
      <c r="B61" t="s">
        <v>123</v>
      </c>
      <c r="C61" t="s">
        <v>26</v>
      </c>
      <c r="D61">
        <v>30</v>
      </c>
      <c r="E61" t="s">
        <v>16</v>
      </c>
      <c r="F61" t="s">
        <v>17</v>
      </c>
      <c r="G61" s="1">
        <v>44453</v>
      </c>
      <c r="H61">
        <v>1261052</v>
      </c>
      <c r="I61" t="str">
        <f t="shared" si="2"/>
        <v>2021</v>
      </c>
      <c r="J61" t="str">
        <f t="shared" si="3"/>
        <v>September</v>
      </c>
    </row>
    <row r="62" spans="1:10" x14ac:dyDescent="0.2">
      <c r="A62" t="s">
        <v>124</v>
      </c>
      <c r="B62" t="s">
        <v>125</v>
      </c>
      <c r="C62" t="s">
        <v>26</v>
      </c>
      <c r="D62">
        <v>15</v>
      </c>
      <c r="E62" t="s">
        <v>33</v>
      </c>
      <c r="F62" t="s">
        <v>17</v>
      </c>
      <c r="G62" s="1">
        <v>44434</v>
      </c>
      <c r="H62">
        <v>2322881</v>
      </c>
      <c r="I62" t="str">
        <f t="shared" si="2"/>
        <v>2021</v>
      </c>
      <c r="J62" t="str">
        <f t="shared" si="3"/>
        <v>August</v>
      </c>
    </row>
    <row r="63" spans="1:10" x14ac:dyDescent="0.2">
      <c r="A63" t="s">
        <v>126</v>
      </c>
      <c r="B63" t="s">
        <v>127</v>
      </c>
      <c r="C63" t="s">
        <v>10</v>
      </c>
      <c r="D63">
        <v>30</v>
      </c>
      <c r="E63" t="s">
        <v>40</v>
      </c>
      <c r="F63" t="s">
        <v>12</v>
      </c>
      <c r="G63" s="1">
        <v>44063</v>
      </c>
      <c r="H63">
        <v>3179314</v>
      </c>
      <c r="I63" t="str">
        <f t="shared" si="2"/>
        <v>2020</v>
      </c>
      <c r="J63" t="str">
        <f t="shared" si="3"/>
        <v>August</v>
      </c>
    </row>
    <row r="64" spans="1:10" x14ac:dyDescent="0.2">
      <c r="A64" t="s">
        <v>128</v>
      </c>
      <c r="B64" t="s">
        <v>129</v>
      </c>
      <c r="C64" t="s">
        <v>10</v>
      </c>
      <c r="D64">
        <v>60</v>
      </c>
      <c r="E64" t="s">
        <v>33</v>
      </c>
      <c r="F64" t="s">
        <v>17</v>
      </c>
      <c r="G64" s="1">
        <v>44324</v>
      </c>
      <c r="H64">
        <v>4983476</v>
      </c>
      <c r="I64" t="str">
        <f t="shared" si="2"/>
        <v>2021</v>
      </c>
      <c r="J64" t="str">
        <f t="shared" si="3"/>
        <v>May</v>
      </c>
    </row>
    <row r="65" spans="1:10" x14ac:dyDescent="0.2">
      <c r="A65" t="s">
        <v>130</v>
      </c>
      <c r="B65" t="s">
        <v>131</v>
      </c>
      <c r="C65" t="s">
        <v>26</v>
      </c>
      <c r="D65">
        <v>15</v>
      </c>
      <c r="E65" t="s">
        <v>16</v>
      </c>
      <c r="F65" t="s">
        <v>17</v>
      </c>
      <c r="G65" s="1">
        <v>44238</v>
      </c>
      <c r="H65">
        <v>2195951</v>
      </c>
      <c r="I65" t="str">
        <f t="shared" si="2"/>
        <v>2021</v>
      </c>
      <c r="J65" t="str">
        <f t="shared" si="3"/>
        <v>February</v>
      </c>
    </row>
    <row r="66" spans="1:10" x14ac:dyDescent="0.2">
      <c r="A66" t="s">
        <v>132</v>
      </c>
      <c r="B66" t="s">
        <v>133</v>
      </c>
      <c r="C66" t="s">
        <v>10</v>
      </c>
      <c r="D66">
        <v>15</v>
      </c>
      <c r="E66" t="s">
        <v>40</v>
      </c>
      <c r="F66" t="s">
        <v>17</v>
      </c>
      <c r="G66" s="1">
        <v>43991</v>
      </c>
      <c r="H66">
        <v>2054496</v>
      </c>
      <c r="I66" t="str">
        <f t="shared" ref="I66:I97" si="4">TEXT(G66,"yyyy")</f>
        <v>2020</v>
      </c>
      <c r="J66" t="str">
        <f t="shared" ref="J66:J97" si="5">TEXT(G66,"mmmm")</f>
        <v>June</v>
      </c>
    </row>
    <row r="67" spans="1:10" x14ac:dyDescent="0.2">
      <c r="A67" t="s">
        <v>134</v>
      </c>
      <c r="B67" t="s">
        <v>46</v>
      </c>
      <c r="C67" t="s">
        <v>10</v>
      </c>
      <c r="D67">
        <v>15</v>
      </c>
      <c r="E67" t="s">
        <v>33</v>
      </c>
      <c r="F67" t="s">
        <v>17</v>
      </c>
      <c r="G67" s="1">
        <v>43902</v>
      </c>
      <c r="H67">
        <v>2249529</v>
      </c>
      <c r="I67" t="str">
        <f t="shared" si="4"/>
        <v>2020</v>
      </c>
      <c r="J67" t="str">
        <f t="shared" si="5"/>
        <v>March</v>
      </c>
    </row>
    <row r="68" spans="1:10" x14ac:dyDescent="0.2">
      <c r="A68" t="s">
        <v>135</v>
      </c>
      <c r="B68" t="s">
        <v>136</v>
      </c>
      <c r="C68" t="s">
        <v>15</v>
      </c>
      <c r="D68">
        <v>60</v>
      </c>
      <c r="E68" t="s">
        <v>16</v>
      </c>
      <c r="F68" t="s">
        <v>17</v>
      </c>
      <c r="G68" s="1">
        <v>44207</v>
      </c>
      <c r="H68">
        <v>2619119</v>
      </c>
      <c r="I68" t="str">
        <f t="shared" si="4"/>
        <v>2021</v>
      </c>
      <c r="J68" t="str">
        <f t="shared" si="5"/>
        <v>January</v>
      </c>
    </row>
    <row r="69" spans="1:10" x14ac:dyDescent="0.2">
      <c r="A69" t="s">
        <v>137</v>
      </c>
      <c r="B69" t="s">
        <v>138</v>
      </c>
      <c r="C69" t="s">
        <v>15</v>
      </c>
      <c r="D69">
        <v>30</v>
      </c>
      <c r="E69" t="s">
        <v>23</v>
      </c>
      <c r="F69" t="s">
        <v>17</v>
      </c>
      <c r="G69" s="1">
        <v>44113</v>
      </c>
      <c r="H69">
        <v>870956</v>
      </c>
      <c r="I69" t="str">
        <f t="shared" si="4"/>
        <v>2020</v>
      </c>
      <c r="J69" t="str">
        <f t="shared" si="5"/>
        <v>October</v>
      </c>
    </row>
    <row r="70" spans="1:10" x14ac:dyDescent="0.2">
      <c r="A70" t="s">
        <v>139</v>
      </c>
      <c r="B70" t="s">
        <v>140</v>
      </c>
      <c r="C70" t="s">
        <v>15</v>
      </c>
      <c r="D70">
        <v>15</v>
      </c>
      <c r="E70" t="s">
        <v>40</v>
      </c>
      <c r="F70" t="s">
        <v>17</v>
      </c>
      <c r="G70" s="1">
        <v>44365</v>
      </c>
      <c r="H70">
        <v>4885593</v>
      </c>
      <c r="I70" t="str">
        <f t="shared" si="4"/>
        <v>2021</v>
      </c>
      <c r="J70" t="str">
        <f t="shared" si="5"/>
        <v>June</v>
      </c>
    </row>
    <row r="71" spans="1:10" x14ac:dyDescent="0.2">
      <c r="A71" t="s">
        <v>141</v>
      </c>
      <c r="B71" t="s">
        <v>39</v>
      </c>
      <c r="C71" t="s">
        <v>26</v>
      </c>
      <c r="D71">
        <v>60</v>
      </c>
      <c r="E71" t="s">
        <v>33</v>
      </c>
      <c r="F71" t="s">
        <v>12</v>
      </c>
      <c r="G71" s="1">
        <v>44541</v>
      </c>
      <c r="H71">
        <v>3453750</v>
      </c>
      <c r="I71" t="str">
        <f t="shared" si="4"/>
        <v>2021</v>
      </c>
      <c r="J71" t="str">
        <f t="shared" si="5"/>
        <v>December</v>
      </c>
    </row>
    <row r="72" spans="1:10" x14ac:dyDescent="0.2">
      <c r="A72" t="s">
        <v>142</v>
      </c>
      <c r="B72" t="s">
        <v>61</v>
      </c>
      <c r="C72" t="s">
        <v>26</v>
      </c>
      <c r="D72">
        <v>60</v>
      </c>
      <c r="E72" t="s">
        <v>16</v>
      </c>
      <c r="F72" t="s">
        <v>17</v>
      </c>
      <c r="G72" s="1">
        <v>43857</v>
      </c>
      <c r="H72">
        <v>4873662</v>
      </c>
      <c r="I72" t="str">
        <f t="shared" si="4"/>
        <v>2020</v>
      </c>
      <c r="J72" t="str">
        <f t="shared" si="5"/>
        <v>January</v>
      </c>
    </row>
    <row r="73" spans="1:10" x14ac:dyDescent="0.2">
      <c r="A73" t="s">
        <v>143</v>
      </c>
      <c r="B73" t="s">
        <v>144</v>
      </c>
      <c r="C73" t="s">
        <v>26</v>
      </c>
      <c r="D73">
        <v>45</v>
      </c>
      <c r="E73" t="s">
        <v>23</v>
      </c>
      <c r="F73" t="s">
        <v>12</v>
      </c>
      <c r="G73" s="1">
        <v>44176</v>
      </c>
      <c r="H73">
        <v>1923996</v>
      </c>
      <c r="I73" t="str">
        <f t="shared" si="4"/>
        <v>2020</v>
      </c>
      <c r="J73" t="str">
        <f t="shared" si="5"/>
        <v>December</v>
      </c>
    </row>
    <row r="74" spans="1:10" x14ac:dyDescent="0.2">
      <c r="A74" t="s">
        <v>145</v>
      </c>
      <c r="B74" t="s">
        <v>146</v>
      </c>
      <c r="C74" t="s">
        <v>10</v>
      </c>
      <c r="D74">
        <v>15</v>
      </c>
      <c r="E74" t="s">
        <v>40</v>
      </c>
      <c r="F74" t="s">
        <v>17</v>
      </c>
      <c r="G74" s="1">
        <v>44196</v>
      </c>
      <c r="H74">
        <v>747613</v>
      </c>
      <c r="I74" t="str">
        <f t="shared" si="4"/>
        <v>2020</v>
      </c>
      <c r="J74" t="str">
        <f t="shared" si="5"/>
        <v>December</v>
      </c>
    </row>
    <row r="75" spans="1:10" x14ac:dyDescent="0.2">
      <c r="A75" t="s">
        <v>147</v>
      </c>
      <c r="B75" t="s">
        <v>148</v>
      </c>
      <c r="C75" t="s">
        <v>15</v>
      </c>
      <c r="D75">
        <v>60</v>
      </c>
      <c r="E75" t="s">
        <v>23</v>
      </c>
      <c r="F75" t="s">
        <v>17</v>
      </c>
      <c r="G75" s="1">
        <v>44425</v>
      </c>
      <c r="H75">
        <v>2823714</v>
      </c>
      <c r="I75" t="str">
        <f t="shared" si="4"/>
        <v>2021</v>
      </c>
      <c r="J75" t="str">
        <f t="shared" si="5"/>
        <v>August</v>
      </c>
    </row>
    <row r="76" spans="1:10" x14ac:dyDescent="0.2">
      <c r="A76" t="s">
        <v>149</v>
      </c>
      <c r="B76" t="s">
        <v>150</v>
      </c>
      <c r="C76" t="s">
        <v>15</v>
      </c>
      <c r="D76">
        <v>30</v>
      </c>
      <c r="E76" t="s">
        <v>11</v>
      </c>
      <c r="F76" t="s">
        <v>12</v>
      </c>
      <c r="G76" s="1">
        <v>44306</v>
      </c>
      <c r="H76">
        <v>4147781</v>
      </c>
      <c r="I76" t="str">
        <f t="shared" si="4"/>
        <v>2021</v>
      </c>
      <c r="J76" t="str">
        <f t="shared" si="5"/>
        <v>April</v>
      </c>
    </row>
    <row r="77" spans="1:10" x14ac:dyDescent="0.2">
      <c r="A77" t="s">
        <v>151</v>
      </c>
      <c r="B77" t="s">
        <v>9</v>
      </c>
      <c r="C77" t="s">
        <v>26</v>
      </c>
      <c r="D77">
        <v>60</v>
      </c>
      <c r="E77" t="s">
        <v>40</v>
      </c>
      <c r="F77" t="s">
        <v>17</v>
      </c>
      <c r="G77" s="1">
        <v>44522</v>
      </c>
      <c r="H77">
        <v>1550411</v>
      </c>
      <c r="I77" t="str">
        <f t="shared" si="4"/>
        <v>2021</v>
      </c>
      <c r="J77" t="str">
        <f t="shared" si="5"/>
        <v>November</v>
      </c>
    </row>
    <row r="78" spans="1:10" x14ac:dyDescent="0.2">
      <c r="A78" t="s">
        <v>152</v>
      </c>
      <c r="B78" t="s">
        <v>153</v>
      </c>
      <c r="C78" t="s">
        <v>26</v>
      </c>
      <c r="D78">
        <v>60</v>
      </c>
      <c r="E78" t="s">
        <v>16</v>
      </c>
      <c r="F78" t="s">
        <v>12</v>
      </c>
      <c r="G78" s="1">
        <v>44066</v>
      </c>
      <c r="H78">
        <v>4195959</v>
      </c>
      <c r="I78" t="str">
        <f t="shared" si="4"/>
        <v>2020</v>
      </c>
      <c r="J78" t="str">
        <f t="shared" si="5"/>
        <v>August</v>
      </c>
    </row>
    <row r="79" spans="1:10" x14ac:dyDescent="0.2">
      <c r="A79" t="s">
        <v>154</v>
      </c>
      <c r="B79" t="s">
        <v>119</v>
      </c>
      <c r="C79" t="s">
        <v>26</v>
      </c>
      <c r="D79">
        <v>45</v>
      </c>
      <c r="E79" t="s">
        <v>16</v>
      </c>
      <c r="F79" t="s">
        <v>12</v>
      </c>
      <c r="G79" s="1">
        <v>43839</v>
      </c>
      <c r="H79">
        <v>4933788</v>
      </c>
      <c r="I79" t="str">
        <f t="shared" si="4"/>
        <v>2020</v>
      </c>
      <c r="J79" t="str">
        <f t="shared" si="5"/>
        <v>January</v>
      </c>
    </row>
    <row r="80" spans="1:10" x14ac:dyDescent="0.2">
      <c r="A80" t="s">
        <v>155</v>
      </c>
      <c r="B80" t="s">
        <v>156</v>
      </c>
      <c r="C80" t="s">
        <v>26</v>
      </c>
      <c r="D80">
        <v>15</v>
      </c>
      <c r="E80" t="s">
        <v>40</v>
      </c>
      <c r="F80" t="s">
        <v>17</v>
      </c>
      <c r="G80" s="1">
        <v>44114</v>
      </c>
      <c r="H80">
        <v>899971</v>
      </c>
      <c r="I80" t="str">
        <f t="shared" si="4"/>
        <v>2020</v>
      </c>
      <c r="J80" t="str">
        <f t="shared" si="5"/>
        <v>October</v>
      </c>
    </row>
    <row r="81" spans="1:10" x14ac:dyDescent="0.2">
      <c r="A81" t="s">
        <v>157</v>
      </c>
      <c r="B81" t="s">
        <v>158</v>
      </c>
      <c r="C81" t="s">
        <v>26</v>
      </c>
      <c r="D81">
        <v>60</v>
      </c>
      <c r="E81" t="s">
        <v>11</v>
      </c>
      <c r="F81" t="s">
        <v>12</v>
      </c>
      <c r="G81" s="1">
        <v>43990</v>
      </c>
      <c r="H81">
        <v>2619881</v>
      </c>
      <c r="I81" t="str">
        <f t="shared" si="4"/>
        <v>2020</v>
      </c>
      <c r="J81" t="str">
        <f t="shared" si="5"/>
        <v>June</v>
      </c>
    </row>
    <row r="82" spans="1:10" x14ac:dyDescent="0.2">
      <c r="A82" t="s">
        <v>159</v>
      </c>
      <c r="B82" t="s">
        <v>160</v>
      </c>
      <c r="C82" t="s">
        <v>26</v>
      </c>
      <c r="D82">
        <v>30</v>
      </c>
      <c r="E82" t="s">
        <v>40</v>
      </c>
      <c r="F82" t="s">
        <v>17</v>
      </c>
      <c r="G82" s="1">
        <v>44261</v>
      </c>
      <c r="H82">
        <v>413495</v>
      </c>
      <c r="I82" t="str">
        <f t="shared" si="4"/>
        <v>2021</v>
      </c>
      <c r="J82" t="str">
        <f t="shared" si="5"/>
        <v>March</v>
      </c>
    </row>
    <row r="83" spans="1:10" x14ac:dyDescent="0.2">
      <c r="A83" t="s">
        <v>161</v>
      </c>
      <c r="B83" t="s">
        <v>162</v>
      </c>
      <c r="C83" t="s">
        <v>26</v>
      </c>
      <c r="D83">
        <v>45</v>
      </c>
      <c r="E83" t="s">
        <v>33</v>
      </c>
      <c r="F83" t="s">
        <v>12</v>
      </c>
      <c r="G83" s="1">
        <v>44007</v>
      </c>
      <c r="H83">
        <v>4934218</v>
      </c>
      <c r="I83" t="str">
        <f t="shared" si="4"/>
        <v>2020</v>
      </c>
      <c r="J83" t="str">
        <f t="shared" si="5"/>
        <v>June</v>
      </c>
    </row>
    <row r="84" spans="1:10" x14ac:dyDescent="0.2">
      <c r="A84" t="s">
        <v>163</v>
      </c>
      <c r="B84" t="s">
        <v>164</v>
      </c>
      <c r="C84" t="s">
        <v>15</v>
      </c>
      <c r="D84">
        <v>60</v>
      </c>
      <c r="E84" t="s">
        <v>16</v>
      </c>
      <c r="F84" t="s">
        <v>12</v>
      </c>
      <c r="G84" s="1">
        <v>43849</v>
      </c>
      <c r="H84">
        <v>3300640</v>
      </c>
      <c r="I84" t="str">
        <f t="shared" si="4"/>
        <v>2020</v>
      </c>
      <c r="J84" t="str">
        <f t="shared" si="5"/>
        <v>January</v>
      </c>
    </row>
    <row r="85" spans="1:10" x14ac:dyDescent="0.2">
      <c r="A85" t="s">
        <v>165</v>
      </c>
      <c r="B85" t="s">
        <v>166</v>
      </c>
      <c r="C85" t="s">
        <v>10</v>
      </c>
      <c r="D85">
        <v>30</v>
      </c>
      <c r="E85" t="s">
        <v>20</v>
      </c>
      <c r="F85" t="s">
        <v>17</v>
      </c>
      <c r="G85" s="1">
        <v>44061</v>
      </c>
      <c r="H85">
        <v>758316</v>
      </c>
      <c r="I85" t="str">
        <f t="shared" si="4"/>
        <v>2020</v>
      </c>
      <c r="J85" t="str">
        <f t="shared" si="5"/>
        <v>August</v>
      </c>
    </row>
    <row r="86" spans="1:10" x14ac:dyDescent="0.2">
      <c r="A86" t="s">
        <v>167</v>
      </c>
      <c r="B86" t="s">
        <v>168</v>
      </c>
      <c r="C86" t="s">
        <v>10</v>
      </c>
      <c r="D86">
        <v>15</v>
      </c>
      <c r="E86" t="s">
        <v>23</v>
      </c>
      <c r="F86" t="s">
        <v>17</v>
      </c>
      <c r="G86" s="1">
        <v>44368</v>
      </c>
      <c r="H86">
        <v>569113</v>
      </c>
      <c r="I86" t="str">
        <f t="shared" si="4"/>
        <v>2021</v>
      </c>
      <c r="J86" t="str">
        <f t="shared" si="5"/>
        <v>June</v>
      </c>
    </row>
    <row r="87" spans="1:10" x14ac:dyDescent="0.2">
      <c r="A87" t="s">
        <v>169</v>
      </c>
      <c r="B87" t="s">
        <v>170</v>
      </c>
      <c r="C87" t="s">
        <v>15</v>
      </c>
      <c r="D87">
        <v>45</v>
      </c>
      <c r="E87" t="s">
        <v>16</v>
      </c>
      <c r="F87" t="s">
        <v>17</v>
      </c>
      <c r="G87" s="1">
        <v>43982</v>
      </c>
      <c r="H87">
        <v>2905063</v>
      </c>
      <c r="I87" t="str">
        <f t="shared" si="4"/>
        <v>2020</v>
      </c>
      <c r="J87" t="str">
        <f t="shared" si="5"/>
        <v>May</v>
      </c>
    </row>
    <row r="88" spans="1:10" x14ac:dyDescent="0.2">
      <c r="A88" t="s">
        <v>171</v>
      </c>
      <c r="B88" t="s">
        <v>162</v>
      </c>
      <c r="C88" t="s">
        <v>15</v>
      </c>
      <c r="D88">
        <v>60</v>
      </c>
      <c r="E88" t="s">
        <v>11</v>
      </c>
      <c r="F88" t="s">
        <v>12</v>
      </c>
      <c r="G88" s="1">
        <v>44371</v>
      </c>
      <c r="H88">
        <v>3018650</v>
      </c>
      <c r="I88" t="str">
        <f t="shared" si="4"/>
        <v>2021</v>
      </c>
      <c r="J88" t="str">
        <f t="shared" si="5"/>
        <v>June</v>
      </c>
    </row>
    <row r="89" spans="1:10" x14ac:dyDescent="0.2">
      <c r="A89" t="s">
        <v>172</v>
      </c>
      <c r="B89" t="s">
        <v>173</v>
      </c>
      <c r="C89" t="s">
        <v>10</v>
      </c>
      <c r="D89">
        <v>45</v>
      </c>
      <c r="E89" t="s">
        <v>20</v>
      </c>
      <c r="F89" t="s">
        <v>17</v>
      </c>
      <c r="G89" s="1">
        <v>44006</v>
      </c>
      <c r="H89">
        <v>3743209</v>
      </c>
      <c r="I89" t="str">
        <f t="shared" si="4"/>
        <v>2020</v>
      </c>
      <c r="J89" t="str">
        <f t="shared" si="5"/>
        <v>June</v>
      </c>
    </row>
    <row r="90" spans="1:10" x14ac:dyDescent="0.2">
      <c r="A90" t="s">
        <v>174</v>
      </c>
      <c r="B90" t="s">
        <v>175</v>
      </c>
      <c r="C90" t="s">
        <v>26</v>
      </c>
      <c r="D90">
        <v>30</v>
      </c>
      <c r="E90" t="s">
        <v>40</v>
      </c>
      <c r="F90" t="s">
        <v>17</v>
      </c>
      <c r="G90" s="1">
        <v>44206</v>
      </c>
      <c r="H90">
        <v>3594037</v>
      </c>
      <c r="I90" t="str">
        <f t="shared" si="4"/>
        <v>2021</v>
      </c>
      <c r="J90" t="str">
        <f t="shared" si="5"/>
        <v>January</v>
      </c>
    </row>
    <row r="91" spans="1:10" x14ac:dyDescent="0.2">
      <c r="A91" t="s">
        <v>176</v>
      </c>
      <c r="B91" t="s">
        <v>69</v>
      </c>
      <c r="C91" t="s">
        <v>10</v>
      </c>
      <c r="D91">
        <v>15</v>
      </c>
      <c r="E91" t="s">
        <v>16</v>
      </c>
      <c r="F91" t="s">
        <v>17</v>
      </c>
      <c r="G91" s="1">
        <v>44231</v>
      </c>
      <c r="H91">
        <v>1111167</v>
      </c>
      <c r="I91" t="str">
        <f t="shared" si="4"/>
        <v>2021</v>
      </c>
      <c r="J91" t="str">
        <f t="shared" si="5"/>
        <v>February</v>
      </c>
    </row>
    <row r="92" spans="1:10" x14ac:dyDescent="0.2">
      <c r="A92" t="s">
        <v>177</v>
      </c>
      <c r="B92" t="s">
        <v>25</v>
      </c>
      <c r="C92" t="s">
        <v>15</v>
      </c>
      <c r="D92">
        <v>15</v>
      </c>
      <c r="E92" t="s">
        <v>33</v>
      </c>
      <c r="F92" t="s">
        <v>17</v>
      </c>
      <c r="G92" s="1">
        <v>44083</v>
      </c>
      <c r="H92">
        <v>2001845</v>
      </c>
      <c r="I92" t="str">
        <f t="shared" si="4"/>
        <v>2020</v>
      </c>
      <c r="J92" t="str">
        <f t="shared" si="5"/>
        <v>September</v>
      </c>
    </row>
    <row r="93" spans="1:10" x14ac:dyDescent="0.2">
      <c r="A93" t="s">
        <v>178</v>
      </c>
      <c r="B93" t="s">
        <v>125</v>
      </c>
      <c r="C93" t="s">
        <v>10</v>
      </c>
      <c r="D93">
        <v>15</v>
      </c>
      <c r="E93" t="s">
        <v>20</v>
      </c>
      <c r="F93" t="s">
        <v>17</v>
      </c>
      <c r="G93" s="1">
        <v>44281</v>
      </c>
      <c r="H93">
        <v>195918</v>
      </c>
      <c r="I93" t="str">
        <f t="shared" si="4"/>
        <v>2021</v>
      </c>
      <c r="J93" t="str">
        <f t="shared" si="5"/>
        <v>March</v>
      </c>
    </row>
    <row r="94" spans="1:10" x14ac:dyDescent="0.2">
      <c r="A94" t="s">
        <v>179</v>
      </c>
      <c r="B94" t="s">
        <v>175</v>
      </c>
      <c r="C94" t="s">
        <v>26</v>
      </c>
      <c r="D94">
        <v>15</v>
      </c>
      <c r="E94" t="s">
        <v>11</v>
      </c>
      <c r="F94" t="s">
        <v>17</v>
      </c>
      <c r="G94" s="1">
        <v>43949</v>
      </c>
      <c r="H94">
        <v>3308533</v>
      </c>
      <c r="I94" t="str">
        <f t="shared" si="4"/>
        <v>2020</v>
      </c>
      <c r="J94" t="str">
        <f t="shared" si="5"/>
        <v>April</v>
      </c>
    </row>
    <row r="95" spans="1:10" x14ac:dyDescent="0.2">
      <c r="A95" t="s">
        <v>180</v>
      </c>
      <c r="B95" t="s">
        <v>14</v>
      </c>
      <c r="C95" t="s">
        <v>15</v>
      </c>
      <c r="D95">
        <v>60</v>
      </c>
      <c r="E95" t="s">
        <v>11</v>
      </c>
      <c r="F95" t="s">
        <v>17</v>
      </c>
      <c r="G95" s="1">
        <v>43995</v>
      </c>
      <c r="H95">
        <v>554058</v>
      </c>
      <c r="I95" t="str">
        <f t="shared" si="4"/>
        <v>2020</v>
      </c>
      <c r="J95" t="str">
        <f t="shared" si="5"/>
        <v>June</v>
      </c>
    </row>
    <row r="96" spans="1:10" x14ac:dyDescent="0.2">
      <c r="A96" t="s">
        <v>181</v>
      </c>
      <c r="B96" t="s">
        <v>182</v>
      </c>
      <c r="C96" t="s">
        <v>15</v>
      </c>
      <c r="D96">
        <v>30</v>
      </c>
      <c r="E96" t="s">
        <v>20</v>
      </c>
      <c r="F96" t="s">
        <v>17</v>
      </c>
      <c r="G96" s="1">
        <v>44398</v>
      </c>
      <c r="H96">
        <v>2656708</v>
      </c>
      <c r="I96" t="str">
        <f t="shared" si="4"/>
        <v>2021</v>
      </c>
      <c r="J96" t="str">
        <f t="shared" si="5"/>
        <v>July</v>
      </c>
    </row>
    <row r="97" spans="1:10" x14ac:dyDescent="0.2">
      <c r="A97" t="s">
        <v>183</v>
      </c>
      <c r="B97" t="s">
        <v>184</v>
      </c>
      <c r="C97" t="s">
        <v>10</v>
      </c>
      <c r="D97">
        <v>45</v>
      </c>
      <c r="E97" t="s">
        <v>23</v>
      </c>
      <c r="F97" t="s">
        <v>17</v>
      </c>
      <c r="G97" s="1">
        <v>44492</v>
      </c>
      <c r="H97">
        <v>4498846</v>
      </c>
      <c r="I97" t="str">
        <f t="shared" si="4"/>
        <v>2021</v>
      </c>
      <c r="J97" t="str">
        <f t="shared" si="5"/>
        <v>October</v>
      </c>
    </row>
    <row r="98" spans="1:10" x14ac:dyDescent="0.2">
      <c r="A98" t="s">
        <v>185</v>
      </c>
      <c r="B98" t="s">
        <v>186</v>
      </c>
      <c r="C98" t="s">
        <v>15</v>
      </c>
      <c r="D98">
        <v>60</v>
      </c>
      <c r="E98" t="s">
        <v>16</v>
      </c>
      <c r="F98" t="s">
        <v>17</v>
      </c>
      <c r="G98" s="1">
        <v>44019</v>
      </c>
      <c r="H98">
        <v>445461</v>
      </c>
      <c r="I98" t="str">
        <f t="shared" ref="I98:I129" si="6">TEXT(G98,"yyyy")</f>
        <v>2020</v>
      </c>
      <c r="J98" t="str">
        <f t="shared" ref="J98:J129" si="7">TEXT(G98,"mmmm")</f>
        <v>July</v>
      </c>
    </row>
    <row r="99" spans="1:10" x14ac:dyDescent="0.2">
      <c r="A99" t="s">
        <v>187</v>
      </c>
      <c r="B99" t="s">
        <v>188</v>
      </c>
      <c r="C99" t="s">
        <v>10</v>
      </c>
      <c r="D99">
        <v>45</v>
      </c>
      <c r="E99" t="s">
        <v>40</v>
      </c>
      <c r="F99" t="s">
        <v>17</v>
      </c>
      <c r="G99" s="1">
        <v>44404</v>
      </c>
      <c r="H99">
        <v>2778621</v>
      </c>
      <c r="I99" t="str">
        <f t="shared" si="6"/>
        <v>2021</v>
      </c>
      <c r="J99" t="str">
        <f t="shared" si="7"/>
        <v>July</v>
      </c>
    </row>
    <row r="100" spans="1:10" x14ac:dyDescent="0.2">
      <c r="A100" t="s">
        <v>189</v>
      </c>
      <c r="B100" t="s">
        <v>99</v>
      </c>
      <c r="C100" t="s">
        <v>10</v>
      </c>
      <c r="D100">
        <v>15</v>
      </c>
      <c r="E100" t="s">
        <v>11</v>
      </c>
      <c r="F100" t="s">
        <v>12</v>
      </c>
      <c r="G100" s="1">
        <v>44102</v>
      </c>
      <c r="H100">
        <v>4629258</v>
      </c>
      <c r="I100" t="str">
        <f t="shared" si="6"/>
        <v>2020</v>
      </c>
      <c r="J100" t="str">
        <f t="shared" si="7"/>
        <v>September</v>
      </c>
    </row>
    <row r="101" spans="1:10" x14ac:dyDescent="0.2">
      <c r="A101" t="s">
        <v>190</v>
      </c>
      <c r="B101" t="s">
        <v>191</v>
      </c>
      <c r="C101" t="s">
        <v>15</v>
      </c>
      <c r="D101">
        <v>30</v>
      </c>
      <c r="E101" t="s">
        <v>33</v>
      </c>
      <c r="F101" t="s">
        <v>17</v>
      </c>
      <c r="G101" s="1">
        <v>44260</v>
      </c>
      <c r="H101">
        <v>4838832</v>
      </c>
      <c r="I101" t="str">
        <f t="shared" si="6"/>
        <v>2021</v>
      </c>
      <c r="J101" t="str">
        <f t="shared" si="7"/>
        <v>March</v>
      </c>
    </row>
    <row r="102" spans="1:10" x14ac:dyDescent="0.2">
      <c r="A102" t="s">
        <v>192</v>
      </c>
      <c r="B102" t="s">
        <v>193</v>
      </c>
      <c r="C102" t="s">
        <v>15</v>
      </c>
      <c r="D102">
        <v>60</v>
      </c>
      <c r="E102" t="s">
        <v>33</v>
      </c>
      <c r="F102" t="s">
        <v>17</v>
      </c>
      <c r="G102" s="1">
        <v>44293</v>
      </c>
      <c r="H102">
        <v>1354768</v>
      </c>
      <c r="I102" t="str">
        <f t="shared" si="6"/>
        <v>2021</v>
      </c>
      <c r="J102" t="str">
        <f t="shared" si="7"/>
        <v>April</v>
      </c>
    </row>
    <row r="103" spans="1:10" x14ac:dyDescent="0.2">
      <c r="A103" t="s">
        <v>194</v>
      </c>
      <c r="B103" t="s">
        <v>195</v>
      </c>
      <c r="C103" t="s">
        <v>10</v>
      </c>
      <c r="D103">
        <v>45</v>
      </c>
      <c r="E103" t="s">
        <v>40</v>
      </c>
      <c r="F103" t="s">
        <v>17</v>
      </c>
      <c r="G103" s="1">
        <v>44008</v>
      </c>
      <c r="H103">
        <v>2841662</v>
      </c>
      <c r="I103" t="str">
        <f t="shared" si="6"/>
        <v>2020</v>
      </c>
      <c r="J103" t="str">
        <f t="shared" si="7"/>
        <v>June</v>
      </c>
    </row>
    <row r="104" spans="1:10" x14ac:dyDescent="0.2">
      <c r="A104" t="s">
        <v>196</v>
      </c>
      <c r="B104" t="s">
        <v>197</v>
      </c>
      <c r="C104" t="s">
        <v>15</v>
      </c>
      <c r="D104">
        <v>45</v>
      </c>
      <c r="E104" t="s">
        <v>33</v>
      </c>
      <c r="F104" t="s">
        <v>17</v>
      </c>
      <c r="G104" s="1">
        <v>44187</v>
      </c>
      <c r="H104">
        <v>4314450</v>
      </c>
      <c r="I104" t="str">
        <f t="shared" si="6"/>
        <v>2020</v>
      </c>
      <c r="J104" t="str">
        <f t="shared" si="7"/>
        <v>December</v>
      </c>
    </row>
    <row r="105" spans="1:10" x14ac:dyDescent="0.2">
      <c r="A105" t="s">
        <v>198</v>
      </c>
      <c r="B105" t="s">
        <v>44</v>
      </c>
      <c r="C105" t="s">
        <v>15</v>
      </c>
      <c r="D105">
        <v>60</v>
      </c>
      <c r="E105" t="s">
        <v>23</v>
      </c>
      <c r="F105" t="s">
        <v>12</v>
      </c>
      <c r="G105" s="1">
        <v>44098</v>
      </c>
      <c r="H105">
        <v>1952180</v>
      </c>
      <c r="I105" t="str">
        <f t="shared" si="6"/>
        <v>2020</v>
      </c>
      <c r="J105" t="str">
        <f t="shared" si="7"/>
        <v>September</v>
      </c>
    </row>
    <row r="106" spans="1:10" x14ac:dyDescent="0.2">
      <c r="A106" t="s">
        <v>199</v>
      </c>
      <c r="B106" t="s">
        <v>57</v>
      </c>
      <c r="C106" t="s">
        <v>26</v>
      </c>
      <c r="D106">
        <v>45</v>
      </c>
      <c r="E106" t="s">
        <v>40</v>
      </c>
      <c r="F106" t="s">
        <v>17</v>
      </c>
      <c r="G106" s="1">
        <v>44562</v>
      </c>
      <c r="H106">
        <v>1385113</v>
      </c>
      <c r="I106" t="str">
        <f t="shared" si="6"/>
        <v>2022</v>
      </c>
      <c r="J106" t="str">
        <f t="shared" si="7"/>
        <v>January</v>
      </c>
    </row>
    <row r="107" spans="1:10" x14ac:dyDescent="0.2">
      <c r="A107" t="s">
        <v>200</v>
      </c>
      <c r="B107" t="s">
        <v>133</v>
      </c>
      <c r="C107" t="s">
        <v>15</v>
      </c>
      <c r="D107">
        <v>45</v>
      </c>
      <c r="E107" t="s">
        <v>33</v>
      </c>
      <c r="F107" t="s">
        <v>17</v>
      </c>
      <c r="G107" s="1">
        <v>43909</v>
      </c>
      <c r="H107">
        <v>523790</v>
      </c>
      <c r="I107" t="str">
        <f t="shared" si="6"/>
        <v>2020</v>
      </c>
      <c r="J107" t="str">
        <f t="shared" si="7"/>
        <v>March</v>
      </c>
    </row>
    <row r="108" spans="1:10" x14ac:dyDescent="0.2">
      <c r="A108" t="s">
        <v>201</v>
      </c>
      <c r="B108" t="s">
        <v>202</v>
      </c>
      <c r="C108" t="s">
        <v>10</v>
      </c>
      <c r="D108">
        <v>60</v>
      </c>
      <c r="E108" t="s">
        <v>23</v>
      </c>
      <c r="F108" t="s">
        <v>17</v>
      </c>
      <c r="G108" s="1">
        <v>44044</v>
      </c>
      <c r="H108">
        <v>3395738</v>
      </c>
      <c r="I108" t="str">
        <f t="shared" si="6"/>
        <v>2020</v>
      </c>
      <c r="J108" t="str">
        <f t="shared" si="7"/>
        <v>August</v>
      </c>
    </row>
    <row r="109" spans="1:10" x14ac:dyDescent="0.2">
      <c r="A109" t="s">
        <v>203</v>
      </c>
      <c r="B109" t="s">
        <v>204</v>
      </c>
      <c r="C109" t="s">
        <v>10</v>
      </c>
      <c r="D109">
        <v>30</v>
      </c>
      <c r="E109" t="s">
        <v>33</v>
      </c>
      <c r="F109" t="s">
        <v>17</v>
      </c>
      <c r="G109" s="1">
        <v>44174</v>
      </c>
      <c r="H109">
        <v>3838099</v>
      </c>
      <c r="I109" t="str">
        <f t="shared" si="6"/>
        <v>2020</v>
      </c>
      <c r="J109" t="str">
        <f t="shared" si="7"/>
        <v>December</v>
      </c>
    </row>
    <row r="110" spans="1:10" x14ac:dyDescent="0.2">
      <c r="A110" t="s">
        <v>205</v>
      </c>
      <c r="B110" t="s">
        <v>107</v>
      </c>
      <c r="C110" t="s">
        <v>15</v>
      </c>
      <c r="D110">
        <v>60</v>
      </c>
      <c r="E110" t="s">
        <v>16</v>
      </c>
      <c r="F110" t="s">
        <v>17</v>
      </c>
      <c r="G110" s="1">
        <v>44373</v>
      </c>
      <c r="H110">
        <v>4925587</v>
      </c>
      <c r="I110" t="str">
        <f t="shared" si="6"/>
        <v>2021</v>
      </c>
      <c r="J110" t="str">
        <f t="shared" si="7"/>
        <v>June</v>
      </c>
    </row>
    <row r="111" spans="1:10" x14ac:dyDescent="0.2">
      <c r="A111" t="s">
        <v>206</v>
      </c>
      <c r="B111" t="s">
        <v>207</v>
      </c>
      <c r="C111" t="s">
        <v>26</v>
      </c>
      <c r="D111">
        <v>60</v>
      </c>
      <c r="E111" t="s">
        <v>40</v>
      </c>
      <c r="F111" t="s">
        <v>17</v>
      </c>
      <c r="G111" s="1">
        <v>44543</v>
      </c>
      <c r="H111">
        <v>4333976</v>
      </c>
      <c r="I111" t="str">
        <f t="shared" si="6"/>
        <v>2021</v>
      </c>
      <c r="J111" t="str">
        <f t="shared" si="7"/>
        <v>December</v>
      </c>
    </row>
    <row r="112" spans="1:10" x14ac:dyDescent="0.2">
      <c r="A112" t="s">
        <v>208</v>
      </c>
      <c r="B112" t="s">
        <v>35</v>
      </c>
      <c r="C112" t="s">
        <v>15</v>
      </c>
      <c r="D112">
        <v>30</v>
      </c>
      <c r="E112" t="s">
        <v>33</v>
      </c>
      <c r="F112" t="s">
        <v>17</v>
      </c>
      <c r="G112" s="1">
        <v>43928</v>
      </c>
      <c r="H112">
        <v>855670</v>
      </c>
      <c r="I112" t="str">
        <f t="shared" si="6"/>
        <v>2020</v>
      </c>
      <c r="J112" t="str">
        <f t="shared" si="7"/>
        <v>April</v>
      </c>
    </row>
    <row r="113" spans="1:10" x14ac:dyDescent="0.2">
      <c r="A113" t="s">
        <v>209</v>
      </c>
      <c r="B113" t="s">
        <v>160</v>
      </c>
      <c r="C113" t="s">
        <v>15</v>
      </c>
      <c r="D113">
        <v>45</v>
      </c>
      <c r="E113" t="s">
        <v>33</v>
      </c>
      <c r="F113" t="s">
        <v>12</v>
      </c>
      <c r="G113" s="1">
        <v>44190</v>
      </c>
      <c r="H113">
        <v>1962989</v>
      </c>
      <c r="I113" t="str">
        <f t="shared" si="6"/>
        <v>2020</v>
      </c>
      <c r="J113" t="str">
        <f t="shared" si="7"/>
        <v>December</v>
      </c>
    </row>
    <row r="114" spans="1:10" x14ac:dyDescent="0.2">
      <c r="A114" t="s">
        <v>210</v>
      </c>
      <c r="B114" t="s">
        <v>127</v>
      </c>
      <c r="C114" t="s">
        <v>26</v>
      </c>
      <c r="D114">
        <v>60</v>
      </c>
      <c r="E114" t="s">
        <v>23</v>
      </c>
      <c r="F114" t="s">
        <v>17</v>
      </c>
      <c r="G114" s="1">
        <v>43927</v>
      </c>
      <c r="H114">
        <v>3723339</v>
      </c>
      <c r="I114" t="str">
        <f t="shared" si="6"/>
        <v>2020</v>
      </c>
      <c r="J114" t="str">
        <f t="shared" si="7"/>
        <v>April</v>
      </c>
    </row>
    <row r="115" spans="1:10" x14ac:dyDescent="0.2">
      <c r="A115" t="s">
        <v>211</v>
      </c>
      <c r="B115" t="s">
        <v>212</v>
      </c>
      <c r="C115" t="s">
        <v>15</v>
      </c>
      <c r="D115">
        <v>45</v>
      </c>
      <c r="E115" t="s">
        <v>16</v>
      </c>
      <c r="F115" t="s">
        <v>17</v>
      </c>
      <c r="G115" s="1">
        <v>44318</v>
      </c>
      <c r="H115">
        <v>2530876</v>
      </c>
      <c r="I115" t="str">
        <f t="shared" si="6"/>
        <v>2021</v>
      </c>
      <c r="J115" t="str">
        <f t="shared" si="7"/>
        <v>May</v>
      </c>
    </row>
    <row r="116" spans="1:10" x14ac:dyDescent="0.2">
      <c r="A116" t="s">
        <v>213</v>
      </c>
      <c r="B116" t="s">
        <v>214</v>
      </c>
      <c r="C116" t="s">
        <v>10</v>
      </c>
      <c r="D116">
        <v>45</v>
      </c>
      <c r="E116" t="s">
        <v>16</v>
      </c>
      <c r="F116" t="s">
        <v>12</v>
      </c>
      <c r="G116" s="1">
        <v>44234</v>
      </c>
      <c r="H116">
        <v>3407816</v>
      </c>
      <c r="I116" t="str">
        <f t="shared" si="6"/>
        <v>2021</v>
      </c>
      <c r="J116" t="str">
        <f t="shared" si="7"/>
        <v>February</v>
      </c>
    </row>
    <row r="117" spans="1:10" x14ac:dyDescent="0.2">
      <c r="A117" t="s">
        <v>215</v>
      </c>
      <c r="B117" t="s">
        <v>216</v>
      </c>
      <c r="C117" t="s">
        <v>26</v>
      </c>
      <c r="D117">
        <v>45</v>
      </c>
      <c r="E117" t="s">
        <v>23</v>
      </c>
      <c r="F117" t="s">
        <v>17</v>
      </c>
      <c r="G117" s="1">
        <v>44498</v>
      </c>
      <c r="H117">
        <v>1341618</v>
      </c>
      <c r="I117" t="str">
        <f t="shared" si="6"/>
        <v>2021</v>
      </c>
      <c r="J117" t="str">
        <f t="shared" si="7"/>
        <v>October</v>
      </c>
    </row>
    <row r="118" spans="1:10" x14ac:dyDescent="0.2">
      <c r="A118" t="s">
        <v>217</v>
      </c>
      <c r="B118" t="s">
        <v>218</v>
      </c>
      <c r="C118" t="s">
        <v>26</v>
      </c>
      <c r="D118">
        <v>60</v>
      </c>
      <c r="E118" t="s">
        <v>16</v>
      </c>
      <c r="F118" t="s">
        <v>17</v>
      </c>
      <c r="G118" s="1">
        <v>43888</v>
      </c>
      <c r="H118">
        <v>1208882</v>
      </c>
      <c r="I118" t="str">
        <f t="shared" si="6"/>
        <v>2020</v>
      </c>
      <c r="J118" t="str">
        <f t="shared" si="7"/>
        <v>February</v>
      </c>
    </row>
    <row r="119" spans="1:10" x14ac:dyDescent="0.2">
      <c r="A119" t="s">
        <v>219</v>
      </c>
      <c r="B119" t="s">
        <v>140</v>
      </c>
      <c r="C119" t="s">
        <v>10</v>
      </c>
      <c r="D119">
        <v>30</v>
      </c>
      <c r="E119" t="s">
        <v>20</v>
      </c>
      <c r="F119" t="s">
        <v>17</v>
      </c>
      <c r="G119" s="1">
        <v>44011</v>
      </c>
      <c r="H119">
        <v>2919983</v>
      </c>
      <c r="I119" t="str">
        <f t="shared" si="6"/>
        <v>2020</v>
      </c>
      <c r="J119" t="str">
        <f t="shared" si="7"/>
        <v>June</v>
      </c>
    </row>
    <row r="120" spans="1:10" x14ac:dyDescent="0.2">
      <c r="A120" t="s">
        <v>220</v>
      </c>
      <c r="B120" t="s">
        <v>75</v>
      </c>
      <c r="C120" t="s">
        <v>15</v>
      </c>
      <c r="D120">
        <v>15</v>
      </c>
      <c r="E120" t="s">
        <v>33</v>
      </c>
      <c r="F120" t="s">
        <v>12</v>
      </c>
      <c r="G120" s="1">
        <v>44166</v>
      </c>
      <c r="H120">
        <v>792438</v>
      </c>
      <c r="I120" t="str">
        <f t="shared" si="6"/>
        <v>2020</v>
      </c>
      <c r="J120" t="str">
        <f t="shared" si="7"/>
        <v>December</v>
      </c>
    </row>
    <row r="121" spans="1:10" x14ac:dyDescent="0.2">
      <c r="A121" t="s">
        <v>221</v>
      </c>
      <c r="B121" t="s">
        <v>222</v>
      </c>
      <c r="C121" t="s">
        <v>15</v>
      </c>
      <c r="D121">
        <v>30</v>
      </c>
      <c r="E121" t="s">
        <v>33</v>
      </c>
      <c r="F121" t="s">
        <v>17</v>
      </c>
      <c r="G121" s="1">
        <v>44368</v>
      </c>
      <c r="H121">
        <v>4091758</v>
      </c>
      <c r="I121" t="str">
        <f t="shared" si="6"/>
        <v>2021</v>
      </c>
      <c r="J121" t="str">
        <f t="shared" si="7"/>
        <v>June</v>
      </c>
    </row>
    <row r="122" spans="1:10" x14ac:dyDescent="0.2">
      <c r="A122" t="s">
        <v>223</v>
      </c>
      <c r="B122" t="s">
        <v>92</v>
      </c>
      <c r="C122" t="s">
        <v>26</v>
      </c>
      <c r="D122">
        <v>60</v>
      </c>
      <c r="E122" t="s">
        <v>16</v>
      </c>
      <c r="F122" t="s">
        <v>17</v>
      </c>
      <c r="G122" s="1">
        <v>44026</v>
      </c>
      <c r="H122">
        <v>4893591</v>
      </c>
      <c r="I122" t="str">
        <f t="shared" si="6"/>
        <v>2020</v>
      </c>
      <c r="J122" t="str">
        <f t="shared" si="7"/>
        <v>July</v>
      </c>
    </row>
    <row r="123" spans="1:10" x14ac:dyDescent="0.2">
      <c r="A123" t="s">
        <v>224</v>
      </c>
      <c r="B123" t="s">
        <v>225</v>
      </c>
      <c r="C123" t="s">
        <v>10</v>
      </c>
      <c r="D123">
        <v>30</v>
      </c>
      <c r="E123" t="s">
        <v>33</v>
      </c>
      <c r="F123" t="s">
        <v>17</v>
      </c>
      <c r="G123" s="1">
        <v>43863</v>
      </c>
      <c r="H123">
        <v>513651</v>
      </c>
      <c r="I123" t="str">
        <f t="shared" si="6"/>
        <v>2020</v>
      </c>
      <c r="J123" t="str">
        <f t="shared" si="7"/>
        <v>February</v>
      </c>
    </row>
    <row r="124" spans="1:10" x14ac:dyDescent="0.2">
      <c r="A124" t="s">
        <v>226</v>
      </c>
      <c r="B124" t="s">
        <v>22</v>
      </c>
      <c r="C124" t="s">
        <v>26</v>
      </c>
      <c r="D124">
        <v>15</v>
      </c>
      <c r="E124" t="s">
        <v>16</v>
      </c>
      <c r="F124" t="s">
        <v>17</v>
      </c>
      <c r="G124" s="1">
        <v>44053</v>
      </c>
      <c r="H124">
        <v>4698235</v>
      </c>
      <c r="I124" t="str">
        <f t="shared" si="6"/>
        <v>2020</v>
      </c>
      <c r="J124" t="str">
        <f t="shared" si="7"/>
        <v>August</v>
      </c>
    </row>
    <row r="125" spans="1:10" x14ac:dyDescent="0.2">
      <c r="A125" t="s">
        <v>227</v>
      </c>
      <c r="B125" t="s">
        <v>228</v>
      </c>
      <c r="C125" t="s">
        <v>15</v>
      </c>
      <c r="D125">
        <v>30</v>
      </c>
      <c r="E125" t="s">
        <v>23</v>
      </c>
      <c r="F125" t="s">
        <v>17</v>
      </c>
      <c r="G125" s="1">
        <v>43998</v>
      </c>
      <c r="H125">
        <v>3448659</v>
      </c>
      <c r="I125" t="str">
        <f t="shared" si="6"/>
        <v>2020</v>
      </c>
      <c r="J125" t="str">
        <f t="shared" si="7"/>
        <v>June</v>
      </c>
    </row>
    <row r="126" spans="1:10" x14ac:dyDescent="0.2">
      <c r="A126" t="s">
        <v>229</v>
      </c>
      <c r="B126" t="s">
        <v>230</v>
      </c>
      <c r="C126" t="s">
        <v>15</v>
      </c>
      <c r="D126">
        <v>60</v>
      </c>
      <c r="E126" t="s">
        <v>40</v>
      </c>
      <c r="F126" t="s">
        <v>17</v>
      </c>
      <c r="G126" s="1">
        <v>44405</v>
      </c>
      <c r="H126">
        <v>2302495</v>
      </c>
      <c r="I126" t="str">
        <f t="shared" si="6"/>
        <v>2021</v>
      </c>
      <c r="J126" t="str">
        <f t="shared" si="7"/>
        <v>July</v>
      </c>
    </row>
    <row r="127" spans="1:10" x14ac:dyDescent="0.2">
      <c r="A127" t="s">
        <v>231</v>
      </c>
      <c r="B127" t="s">
        <v>232</v>
      </c>
      <c r="C127" t="s">
        <v>10</v>
      </c>
      <c r="D127">
        <v>45</v>
      </c>
      <c r="E127" t="s">
        <v>23</v>
      </c>
      <c r="F127" t="s">
        <v>17</v>
      </c>
      <c r="G127" s="1">
        <v>43935</v>
      </c>
      <c r="H127">
        <v>813694</v>
      </c>
      <c r="I127" t="str">
        <f t="shared" si="6"/>
        <v>2020</v>
      </c>
      <c r="J127" t="str">
        <f t="shared" si="7"/>
        <v>April</v>
      </c>
    </row>
    <row r="128" spans="1:10" x14ac:dyDescent="0.2">
      <c r="A128" t="s">
        <v>233</v>
      </c>
      <c r="B128" t="s">
        <v>234</v>
      </c>
      <c r="C128" t="s">
        <v>26</v>
      </c>
      <c r="D128">
        <v>15</v>
      </c>
      <c r="E128" t="s">
        <v>40</v>
      </c>
      <c r="F128" t="s">
        <v>17</v>
      </c>
      <c r="G128" s="1">
        <v>44273</v>
      </c>
      <c r="H128">
        <v>3443087</v>
      </c>
      <c r="I128" t="str">
        <f t="shared" si="6"/>
        <v>2021</v>
      </c>
      <c r="J128" t="str">
        <f t="shared" si="7"/>
        <v>March</v>
      </c>
    </row>
    <row r="129" spans="1:10" x14ac:dyDescent="0.2">
      <c r="A129" t="s">
        <v>235</v>
      </c>
      <c r="B129" t="s">
        <v>236</v>
      </c>
      <c r="C129" t="s">
        <v>26</v>
      </c>
      <c r="D129">
        <v>30</v>
      </c>
      <c r="E129" t="s">
        <v>20</v>
      </c>
      <c r="F129" t="s">
        <v>17</v>
      </c>
      <c r="G129" s="1">
        <v>44232</v>
      </c>
      <c r="H129">
        <v>4309597</v>
      </c>
      <c r="I129" t="str">
        <f t="shared" si="6"/>
        <v>2021</v>
      </c>
      <c r="J129" t="str">
        <f t="shared" si="7"/>
        <v>February</v>
      </c>
    </row>
    <row r="130" spans="1:10" x14ac:dyDescent="0.2">
      <c r="A130" t="s">
        <v>237</v>
      </c>
      <c r="B130" t="s">
        <v>123</v>
      </c>
      <c r="C130" t="s">
        <v>15</v>
      </c>
      <c r="D130">
        <v>60</v>
      </c>
      <c r="E130" t="s">
        <v>23</v>
      </c>
      <c r="F130" t="s">
        <v>17</v>
      </c>
      <c r="G130" s="1">
        <v>44143</v>
      </c>
      <c r="H130">
        <v>3744775</v>
      </c>
      <c r="I130" t="str">
        <f t="shared" ref="I130:I161" si="8">TEXT(G130,"yyyy")</f>
        <v>2020</v>
      </c>
      <c r="J130" t="str">
        <f t="shared" ref="J130:J161" si="9">TEXT(G130,"mmmm")</f>
        <v>November</v>
      </c>
    </row>
    <row r="131" spans="1:10" x14ac:dyDescent="0.2">
      <c r="A131" t="s">
        <v>238</v>
      </c>
      <c r="B131" t="s">
        <v>39</v>
      </c>
      <c r="C131" t="s">
        <v>10</v>
      </c>
      <c r="D131">
        <v>15</v>
      </c>
      <c r="E131" t="s">
        <v>11</v>
      </c>
      <c r="F131" t="s">
        <v>17</v>
      </c>
      <c r="G131" s="1">
        <v>43906</v>
      </c>
      <c r="H131">
        <v>1193666</v>
      </c>
      <c r="I131" t="str">
        <f t="shared" si="8"/>
        <v>2020</v>
      </c>
      <c r="J131" t="str">
        <f t="shared" si="9"/>
        <v>March</v>
      </c>
    </row>
    <row r="132" spans="1:10" x14ac:dyDescent="0.2">
      <c r="A132" t="s">
        <v>239</v>
      </c>
      <c r="B132" t="s">
        <v>240</v>
      </c>
      <c r="C132" t="s">
        <v>15</v>
      </c>
      <c r="D132">
        <v>15</v>
      </c>
      <c r="E132" t="s">
        <v>20</v>
      </c>
      <c r="F132" t="s">
        <v>12</v>
      </c>
      <c r="G132" s="1">
        <v>44233</v>
      </c>
      <c r="H132">
        <v>1231377</v>
      </c>
      <c r="I132" t="str">
        <f t="shared" si="8"/>
        <v>2021</v>
      </c>
      <c r="J132" t="str">
        <f t="shared" si="9"/>
        <v>February</v>
      </c>
    </row>
    <row r="133" spans="1:10" x14ac:dyDescent="0.2">
      <c r="A133" t="s">
        <v>241</v>
      </c>
      <c r="B133" t="s">
        <v>242</v>
      </c>
      <c r="C133" t="s">
        <v>10</v>
      </c>
      <c r="D133">
        <v>30</v>
      </c>
      <c r="E133" t="s">
        <v>33</v>
      </c>
      <c r="F133" t="s">
        <v>12</v>
      </c>
      <c r="G133" s="1">
        <v>44449</v>
      </c>
      <c r="H133">
        <v>4134270</v>
      </c>
      <c r="I133" t="str">
        <f t="shared" si="8"/>
        <v>2021</v>
      </c>
      <c r="J133" t="str">
        <f t="shared" si="9"/>
        <v>September</v>
      </c>
    </row>
    <row r="134" spans="1:10" x14ac:dyDescent="0.2">
      <c r="A134" t="s">
        <v>243</v>
      </c>
      <c r="B134" t="s">
        <v>197</v>
      </c>
      <c r="C134" t="s">
        <v>15</v>
      </c>
      <c r="D134">
        <v>60</v>
      </c>
      <c r="E134" t="s">
        <v>23</v>
      </c>
      <c r="F134" t="s">
        <v>17</v>
      </c>
      <c r="G134" s="1">
        <v>44464</v>
      </c>
      <c r="H134">
        <v>4791716</v>
      </c>
      <c r="I134" t="str">
        <f t="shared" si="8"/>
        <v>2021</v>
      </c>
      <c r="J134" t="str">
        <f t="shared" si="9"/>
        <v>September</v>
      </c>
    </row>
    <row r="135" spans="1:10" x14ac:dyDescent="0.2">
      <c r="A135" t="s">
        <v>244</v>
      </c>
      <c r="B135" t="s">
        <v>51</v>
      </c>
      <c r="C135" t="s">
        <v>15</v>
      </c>
      <c r="D135">
        <v>60</v>
      </c>
      <c r="E135" t="s">
        <v>40</v>
      </c>
      <c r="F135" t="s">
        <v>17</v>
      </c>
      <c r="G135" s="1">
        <v>44027</v>
      </c>
      <c r="H135">
        <v>1761854</v>
      </c>
      <c r="I135" t="str">
        <f t="shared" si="8"/>
        <v>2020</v>
      </c>
      <c r="J135" t="str">
        <f t="shared" si="9"/>
        <v>July</v>
      </c>
    </row>
    <row r="136" spans="1:10" x14ac:dyDescent="0.2">
      <c r="A136" t="s">
        <v>245</v>
      </c>
      <c r="B136" t="s">
        <v>246</v>
      </c>
      <c r="C136" t="s">
        <v>10</v>
      </c>
      <c r="D136">
        <v>15</v>
      </c>
      <c r="E136" t="s">
        <v>16</v>
      </c>
      <c r="F136" t="s">
        <v>12</v>
      </c>
      <c r="G136" s="1">
        <v>43888</v>
      </c>
      <c r="H136">
        <v>4192475</v>
      </c>
      <c r="I136" t="str">
        <f t="shared" si="8"/>
        <v>2020</v>
      </c>
      <c r="J136" t="str">
        <f t="shared" si="9"/>
        <v>February</v>
      </c>
    </row>
    <row r="137" spans="1:10" x14ac:dyDescent="0.2">
      <c r="A137" t="s">
        <v>247</v>
      </c>
      <c r="B137" t="s">
        <v>44</v>
      </c>
      <c r="C137" t="s">
        <v>15</v>
      </c>
      <c r="D137">
        <v>15</v>
      </c>
      <c r="E137" t="s">
        <v>16</v>
      </c>
      <c r="F137" t="s">
        <v>17</v>
      </c>
      <c r="G137" s="1">
        <v>44494</v>
      </c>
      <c r="H137">
        <v>3416174</v>
      </c>
      <c r="I137" t="str">
        <f t="shared" si="8"/>
        <v>2021</v>
      </c>
      <c r="J137" t="str">
        <f t="shared" si="9"/>
        <v>October</v>
      </c>
    </row>
    <row r="138" spans="1:10" x14ac:dyDescent="0.2">
      <c r="A138" t="s">
        <v>248</v>
      </c>
      <c r="B138" t="s">
        <v>148</v>
      </c>
      <c r="C138" t="s">
        <v>10</v>
      </c>
      <c r="D138">
        <v>45</v>
      </c>
      <c r="E138" t="s">
        <v>23</v>
      </c>
      <c r="F138" t="s">
        <v>17</v>
      </c>
      <c r="G138" s="1">
        <v>44518</v>
      </c>
      <c r="H138">
        <v>4892669</v>
      </c>
      <c r="I138" t="str">
        <f t="shared" si="8"/>
        <v>2021</v>
      </c>
      <c r="J138" t="str">
        <f t="shared" si="9"/>
        <v>November</v>
      </c>
    </row>
    <row r="139" spans="1:10" x14ac:dyDescent="0.2">
      <c r="A139" t="s">
        <v>249</v>
      </c>
      <c r="B139" t="s">
        <v>99</v>
      </c>
      <c r="C139" t="s">
        <v>26</v>
      </c>
      <c r="D139">
        <v>30</v>
      </c>
      <c r="E139" t="s">
        <v>23</v>
      </c>
      <c r="F139" t="s">
        <v>17</v>
      </c>
      <c r="G139" s="1">
        <v>44430</v>
      </c>
      <c r="H139">
        <v>1745000</v>
      </c>
      <c r="I139" t="str">
        <f t="shared" si="8"/>
        <v>2021</v>
      </c>
      <c r="J139" t="str">
        <f t="shared" si="9"/>
        <v>August</v>
      </c>
    </row>
    <row r="140" spans="1:10" x14ac:dyDescent="0.2">
      <c r="A140" t="s">
        <v>250</v>
      </c>
      <c r="B140" t="s">
        <v>230</v>
      </c>
      <c r="C140" t="s">
        <v>10</v>
      </c>
      <c r="D140">
        <v>45</v>
      </c>
      <c r="E140" t="s">
        <v>20</v>
      </c>
      <c r="F140" t="s">
        <v>17</v>
      </c>
      <c r="G140" s="1">
        <v>44380</v>
      </c>
      <c r="H140">
        <v>4807415</v>
      </c>
      <c r="I140" t="str">
        <f t="shared" si="8"/>
        <v>2021</v>
      </c>
      <c r="J140" t="str">
        <f t="shared" si="9"/>
        <v>July</v>
      </c>
    </row>
    <row r="141" spans="1:10" x14ac:dyDescent="0.2">
      <c r="A141" t="s">
        <v>251</v>
      </c>
      <c r="B141" t="s">
        <v>88</v>
      </c>
      <c r="C141" t="s">
        <v>10</v>
      </c>
      <c r="D141">
        <v>15</v>
      </c>
      <c r="E141" t="s">
        <v>23</v>
      </c>
      <c r="F141" t="s">
        <v>17</v>
      </c>
      <c r="G141" s="1">
        <v>44530</v>
      </c>
      <c r="H141">
        <v>4497709</v>
      </c>
      <c r="I141" t="str">
        <f t="shared" si="8"/>
        <v>2021</v>
      </c>
      <c r="J141" t="str">
        <f t="shared" si="9"/>
        <v>November</v>
      </c>
    </row>
    <row r="142" spans="1:10" x14ac:dyDescent="0.2">
      <c r="A142" t="s">
        <v>252</v>
      </c>
      <c r="B142" t="s">
        <v>110</v>
      </c>
      <c r="C142" t="s">
        <v>15</v>
      </c>
      <c r="D142">
        <v>15</v>
      </c>
      <c r="E142" t="s">
        <v>16</v>
      </c>
      <c r="F142" t="s">
        <v>17</v>
      </c>
      <c r="G142" s="1">
        <v>44356</v>
      </c>
      <c r="H142">
        <v>2165659</v>
      </c>
      <c r="I142" t="str">
        <f t="shared" si="8"/>
        <v>2021</v>
      </c>
      <c r="J142" t="str">
        <f t="shared" si="9"/>
        <v>June</v>
      </c>
    </row>
    <row r="143" spans="1:10" x14ac:dyDescent="0.2">
      <c r="A143" t="s">
        <v>253</v>
      </c>
      <c r="B143" t="s">
        <v>83</v>
      </c>
      <c r="C143" t="s">
        <v>15</v>
      </c>
      <c r="D143">
        <v>60</v>
      </c>
      <c r="E143" t="s">
        <v>11</v>
      </c>
      <c r="F143" t="s">
        <v>17</v>
      </c>
      <c r="G143" s="1">
        <v>44453</v>
      </c>
      <c r="H143">
        <v>2132686</v>
      </c>
      <c r="I143" t="str">
        <f t="shared" si="8"/>
        <v>2021</v>
      </c>
      <c r="J143" t="str">
        <f t="shared" si="9"/>
        <v>September</v>
      </c>
    </row>
    <row r="144" spans="1:10" x14ac:dyDescent="0.2">
      <c r="A144" t="s">
        <v>254</v>
      </c>
      <c r="B144" t="s">
        <v>69</v>
      </c>
      <c r="C144" t="s">
        <v>15</v>
      </c>
      <c r="D144">
        <v>60</v>
      </c>
      <c r="E144" t="s">
        <v>23</v>
      </c>
      <c r="F144" t="s">
        <v>17</v>
      </c>
      <c r="G144" s="1">
        <v>44065</v>
      </c>
      <c r="H144">
        <v>700993</v>
      </c>
      <c r="I144" t="str">
        <f t="shared" si="8"/>
        <v>2020</v>
      </c>
      <c r="J144" t="str">
        <f t="shared" si="9"/>
        <v>August</v>
      </c>
    </row>
    <row r="145" spans="1:10" x14ac:dyDescent="0.2">
      <c r="A145" t="s">
        <v>255</v>
      </c>
      <c r="B145" t="s">
        <v>240</v>
      </c>
      <c r="C145" t="s">
        <v>10</v>
      </c>
      <c r="D145">
        <v>45</v>
      </c>
      <c r="E145" t="s">
        <v>16</v>
      </c>
      <c r="F145" t="s">
        <v>17</v>
      </c>
      <c r="G145" s="1">
        <v>44366</v>
      </c>
      <c r="H145">
        <v>2333526</v>
      </c>
      <c r="I145" t="str">
        <f t="shared" si="8"/>
        <v>2021</v>
      </c>
      <c r="J145" t="str">
        <f t="shared" si="9"/>
        <v>June</v>
      </c>
    </row>
    <row r="146" spans="1:10" x14ac:dyDescent="0.2">
      <c r="A146" t="s">
        <v>256</v>
      </c>
      <c r="B146" t="s">
        <v>257</v>
      </c>
      <c r="C146" t="s">
        <v>15</v>
      </c>
      <c r="D146">
        <v>15</v>
      </c>
      <c r="E146" t="s">
        <v>16</v>
      </c>
      <c r="F146" t="s">
        <v>12</v>
      </c>
      <c r="G146" s="1">
        <v>44461</v>
      </c>
      <c r="H146">
        <v>3707652</v>
      </c>
      <c r="I146" t="str">
        <f t="shared" si="8"/>
        <v>2021</v>
      </c>
      <c r="J146" t="str">
        <f t="shared" si="9"/>
        <v>September</v>
      </c>
    </row>
    <row r="147" spans="1:10" x14ac:dyDescent="0.2">
      <c r="A147" t="s">
        <v>258</v>
      </c>
      <c r="B147" t="s">
        <v>182</v>
      </c>
      <c r="C147" t="s">
        <v>15</v>
      </c>
      <c r="D147">
        <v>30</v>
      </c>
      <c r="E147" t="s">
        <v>23</v>
      </c>
      <c r="F147" t="s">
        <v>17</v>
      </c>
      <c r="G147" s="1">
        <v>44530</v>
      </c>
      <c r="H147">
        <v>2812973</v>
      </c>
      <c r="I147" t="str">
        <f t="shared" si="8"/>
        <v>2021</v>
      </c>
      <c r="J147" t="str">
        <f t="shared" si="9"/>
        <v>November</v>
      </c>
    </row>
    <row r="148" spans="1:10" x14ac:dyDescent="0.2">
      <c r="A148" t="s">
        <v>259</v>
      </c>
      <c r="B148" t="s">
        <v>260</v>
      </c>
      <c r="C148" t="s">
        <v>26</v>
      </c>
      <c r="D148">
        <v>60</v>
      </c>
      <c r="E148" t="s">
        <v>20</v>
      </c>
      <c r="F148" t="s">
        <v>17</v>
      </c>
      <c r="G148" s="1">
        <v>43978</v>
      </c>
      <c r="H148">
        <v>4931991</v>
      </c>
      <c r="I148" t="str">
        <f t="shared" si="8"/>
        <v>2020</v>
      </c>
      <c r="J148" t="str">
        <f t="shared" si="9"/>
        <v>May</v>
      </c>
    </row>
    <row r="149" spans="1:10" x14ac:dyDescent="0.2">
      <c r="A149" t="s">
        <v>261</v>
      </c>
      <c r="B149" t="s">
        <v>146</v>
      </c>
      <c r="C149" t="s">
        <v>26</v>
      </c>
      <c r="D149">
        <v>60</v>
      </c>
      <c r="E149" t="s">
        <v>40</v>
      </c>
      <c r="F149" t="s">
        <v>12</v>
      </c>
      <c r="G149" s="1">
        <v>43905</v>
      </c>
      <c r="H149">
        <v>851574</v>
      </c>
      <c r="I149" t="str">
        <f t="shared" si="8"/>
        <v>2020</v>
      </c>
      <c r="J149" t="str">
        <f t="shared" si="9"/>
        <v>March</v>
      </c>
    </row>
    <row r="150" spans="1:10" x14ac:dyDescent="0.2">
      <c r="A150" t="s">
        <v>262</v>
      </c>
      <c r="B150" t="s">
        <v>39</v>
      </c>
      <c r="C150" t="s">
        <v>10</v>
      </c>
      <c r="D150">
        <v>15</v>
      </c>
      <c r="E150" t="s">
        <v>40</v>
      </c>
      <c r="F150" t="s">
        <v>17</v>
      </c>
      <c r="G150" s="1">
        <v>44165</v>
      </c>
      <c r="H150">
        <v>1043968</v>
      </c>
      <c r="I150" t="str">
        <f t="shared" si="8"/>
        <v>2020</v>
      </c>
      <c r="J150" t="str">
        <f t="shared" si="9"/>
        <v>November</v>
      </c>
    </row>
    <row r="151" spans="1:10" x14ac:dyDescent="0.2">
      <c r="A151" t="s">
        <v>263</v>
      </c>
      <c r="B151" t="s">
        <v>28</v>
      </c>
      <c r="C151" t="s">
        <v>10</v>
      </c>
      <c r="D151">
        <v>30</v>
      </c>
      <c r="E151" t="s">
        <v>20</v>
      </c>
      <c r="F151" t="s">
        <v>17</v>
      </c>
      <c r="G151" s="1">
        <v>43889</v>
      </c>
      <c r="H151">
        <v>3569377</v>
      </c>
      <c r="I151" t="str">
        <f t="shared" si="8"/>
        <v>2020</v>
      </c>
      <c r="J151" t="str">
        <f t="shared" si="9"/>
        <v>February</v>
      </c>
    </row>
    <row r="152" spans="1:10" x14ac:dyDescent="0.2">
      <c r="A152" t="s">
        <v>264</v>
      </c>
      <c r="B152" t="s">
        <v>191</v>
      </c>
      <c r="C152" t="s">
        <v>26</v>
      </c>
      <c r="D152">
        <v>45</v>
      </c>
      <c r="E152" t="s">
        <v>33</v>
      </c>
      <c r="F152" t="s">
        <v>17</v>
      </c>
      <c r="G152" s="1">
        <v>44061</v>
      </c>
      <c r="H152">
        <v>3652916</v>
      </c>
      <c r="I152" t="str">
        <f t="shared" si="8"/>
        <v>2020</v>
      </c>
      <c r="J152" t="str">
        <f t="shared" si="9"/>
        <v>August</v>
      </c>
    </row>
    <row r="153" spans="1:10" x14ac:dyDescent="0.2">
      <c r="A153" t="s">
        <v>265</v>
      </c>
      <c r="B153" t="s">
        <v>131</v>
      </c>
      <c r="C153" t="s">
        <v>10</v>
      </c>
      <c r="D153">
        <v>30</v>
      </c>
      <c r="E153" t="s">
        <v>16</v>
      </c>
      <c r="F153" t="s">
        <v>17</v>
      </c>
      <c r="G153" s="1">
        <v>44024</v>
      </c>
      <c r="H153">
        <v>3164087</v>
      </c>
      <c r="I153" t="str">
        <f t="shared" si="8"/>
        <v>2020</v>
      </c>
      <c r="J153" t="str">
        <f t="shared" si="9"/>
        <v>July</v>
      </c>
    </row>
    <row r="154" spans="1:10" x14ac:dyDescent="0.2">
      <c r="A154" t="s">
        <v>266</v>
      </c>
      <c r="B154" t="s">
        <v>129</v>
      </c>
      <c r="C154" t="s">
        <v>10</v>
      </c>
      <c r="D154">
        <v>15</v>
      </c>
      <c r="E154" t="s">
        <v>33</v>
      </c>
      <c r="F154" t="s">
        <v>17</v>
      </c>
      <c r="G154" s="1">
        <v>43924</v>
      </c>
      <c r="H154">
        <v>3021818</v>
      </c>
      <c r="I154" t="str">
        <f t="shared" si="8"/>
        <v>2020</v>
      </c>
      <c r="J154" t="str">
        <f t="shared" si="9"/>
        <v>April</v>
      </c>
    </row>
    <row r="155" spans="1:10" x14ac:dyDescent="0.2">
      <c r="A155" t="s">
        <v>267</v>
      </c>
      <c r="B155" t="s">
        <v>65</v>
      </c>
      <c r="C155" t="s">
        <v>26</v>
      </c>
      <c r="D155">
        <v>30</v>
      </c>
      <c r="E155" t="s">
        <v>33</v>
      </c>
      <c r="F155" t="s">
        <v>17</v>
      </c>
      <c r="G155" s="1">
        <v>43844</v>
      </c>
      <c r="H155">
        <v>1697943</v>
      </c>
      <c r="I155" t="str">
        <f t="shared" si="8"/>
        <v>2020</v>
      </c>
      <c r="J155" t="str">
        <f t="shared" si="9"/>
        <v>January</v>
      </c>
    </row>
    <row r="156" spans="1:10" x14ac:dyDescent="0.2">
      <c r="A156" t="s">
        <v>268</v>
      </c>
      <c r="B156" t="s">
        <v>234</v>
      </c>
      <c r="C156" t="s">
        <v>26</v>
      </c>
      <c r="D156">
        <v>30</v>
      </c>
      <c r="E156" t="s">
        <v>40</v>
      </c>
      <c r="F156" t="s">
        <v>12</v>
      </c>
      <c r="G156" s="1">
        <v>43958</v>
      </c>
      <c r="H156">
        <v>2790548</v>
      </c>
      <c r="I156" t="str">
        <f t="shared" si="8"/>
        <v>2020</v>
      </c>
      <c r="J156" t="str">
        <f t="shared" si="9"/>
        <v>May</v>
      </c>
    </row>
    <row r="157" spans="1:10" x14ac:dyDescent="0.2">
      <c r="A157" t="s">
        <v>269</v>
      </c>
      <c r="B157" t="s">
        <v>99</v>
      </c>
      <c r="C157" t="s">
        <v>10</v>
      </c>
      <c r="D157">
        <v>15</v>
      </c>
      <c r="E157" t="s">
        <v>40</v>
      </c>
      <c r="F157" t="s">
        <v>17</v>
      </c>
      <c r="G157" s="1">
        <v>44300</v>
      </c>
      <c r="H157">
        <v>2990084</v>
      </c>
      <c r="I157" t="str">
        <f t="shared" si="8"/>
        <v>2021</v>
      </c>
      <c r="J157" t="str">
        <f t="shared" si="9"/>
        <v>April</v>
      </c>
    </row>
    <row r="158" spans="1:10" x14ac:dyDescent="0.2">
      <c r="A158" t="s">
        <v>270</v>
      </c>
      <c r="B158" t="s">
        <v>271</v>
      </c>
      <c r="C158" t="s">
        <v>10</v>
      </c>
      <c r="D158">
        <v>45</v>
      </c>
      <c r="E158" t="s">
        <v>11</v>
      </c>
      <c r="F158" t="s">
        <v>17</v>
      </c>
      <c r="G158" s="1">
        <v>44512</v>
      </c>
      <c r="H158">
        <v>303061</v>
      </c>
      <c r="I158" t="str">
        <f t="shared" si="8"/>
        <v>2021</v>
      </c>
      <c r="J158" t="str">
        <f t="shared" si="9"/>
        <v>November</v>
      </c>
    </row>
    <row r="159" spans="1:10" x14ac:dyDescent="0.2">
      <c r="A159" t="s">
        <v>272</v>
      </c>
      <c r="B159" t="s">
        <v>133</v>
      </c>
      <c r="C159" t="s">
        <v>15</v>
      </c>
      <c r="D159">
        <v>30</v>
      </c>
      <c r="E159" t="s">
        <v>16</v>
      </c>
      <c r="F159" t="s">
        <v>17</v>
      </c>
      <c r="G159" s="1">
        <v>44187</v>
      </c>
      <c r="H159">
        <v>2657005</v>
      </c>
      <c r="I159" t="str">
        <f t="shared" si="8"/>
        <v>2020</v>
      </c>
      <c r="J159" t="str">
        <f t="shared" si="9"/>
        <v>December</v>
      </c>
    </row>
    <row r="160" spans="1:10" x14ac:dyDescent="0.2">
      <c r="A160" t="s">
        <v>273</v>
      </c>
      <c r="B160" t="s">
        <v>9</v>
      </c>
      <c r="C160" t="s">
        <v>10</v>
      </c>
      <c r="D160">
        <v>15</v>
      </c>
      <c r="E160" t="s">
        <v>11</v>
      </c>
      <c r="F160" t="s">
        <v>17</v>
      </c>
      <c r="G160" s="1">
        <v>44336</v>
      </c>
      <c r="H160">
        <v>1519816</v>
      </c>
      <c r="I160" t="str">
        <f t="shared" si="8"/>
        <v>2021</v>
      </c>
      <c r="J160" t="str">
        <f t="shared" si="9"/>
        <v>May</v>
      </c>
    </row>
    <row r="161" spans="1:10" x14ac:dyDescent="0.2">
      <c r="A161" t="s">
        <v>274</v>
      </c>
      <c r="B161" t="s">
        <v>275</v>
      </c>
      <c r="C161" t="s">
        <v>15</v>
      </c>
      <c r="D161">
        <v>30</v>
      </c>
      <c r="E161" t="s">
        <v>20</v>
      </c>
      <c r="F161" t="s">
        <v>17</v>
      </c>
      <c r="G161" s="1">
        <v>43942</v>
      </c>
      <c r="H161">
        <v>3033633</v>
      </c>
      <c r="I161" t="str">
        <f t="shared" si="8"/>
        <v>2020</v>
      </c>
      <c r="J161" t="str">
        <f t="shared" si="9"/>
        <v>April</v>
      </c>
    </row>
    <row r="162" spans="1:10" x14ac:dyDescent="0.2">
      <c r="A162" t="s">
        <v>276</v>
      </c>
      <c r="B162" t="s">
        <v>101</v>
      </c>
      <c r="C162" t="s">
        <v>26</v>
      </c>
      <c r="D162">
        <v>15</v>
      </c>
      <c r="E162" t="s">
        <v>23</v>
      </c>
      <c r="F162" t="s">
        <v>17</v>
      </c>
      <c r="G162" s="1">
        <v>44490</v>
      </c>
      <c r="H162">
        <v>3809527</v>
      </c>
      <c r="I162" t="str">
        <f t="shared" ref="I162:I193" si="10">TEXT(G162,"yyyy")</f>
        <v>2021</v>
      </c>
      <c r="J162" t="str">
        <f t="shared" ref="J162:J193" si="11">TEXT(G162,"mmmm")</f>
        <v>October</v>
      </c>
    </row>
    <row r="163" spans="1:10" x14ac:dyDescent="0.2">
      <c r="A163" t="s">
        <v>277</v>
      </c>
      <c r="B163" t="s">
        <v>271</v>
      </c>
      <c r="C163" t="s">
        <v>26</v>
      </c>
      <c r="D163">
        <v>45</v>
      </c>
      <c r="E163" t="s">
        <v>11</v>
      </c>
      <c r="F163" t="s">
        <v>17</v>
      </c>
      <c r="G163" s="1">
        <v>44549</v>
      </c>
      <c r="H163">
        <v>1323214</v>
      </c>
      <c r="I163" t="str">
        <f t="shared" si="10"/>
        <v>2021</v>
      </c>
      <c r="J163" t="str">
        <f t="shared" si="11"/>
        <v>December</v>
      </c>
    </row>
    <row r="164" spans="1:10" x14ac:dyDescent="0.2">
      <c r="A164" t="s">
        <v>278</v>
      </c>
      <c r="B164" t="s">
        <v>140</v>
      </c>
      <c r="C164" t="s">
        <v>26</v>
      </c>
      <c r="D164">
        <v>60</v>
      </c>
      <c r="E164" t="s">
        <v>23</v>
      </c>
      <c r="F164" t="s">
        <v>17</v>
      </c>
      <c r="G164" s="1">
        <v>44349</v>
      </c>
      <c r="H164">
        <v>3794875</v>
      </c>
      <c r="I164" t="str">
        <f t="shared" si="10"/>
        <v>2021</v>
      </c>
      <c r="J164" t="str">
        <f t="shared" si="11"/>
        <v>June</v>
      </c>
    </row>
    <row r="165" spans="1:10" x14ac:dyDescent="0.2">
      <c r="A165" t="s">
        <v>279</v>
      </c>
      <c r="B165" t="s">
        <v>280</v>
      </c>
      <c r="C165" t="s">
        <v>26</v>
      </c>
      <c r="D165">
        <v>45</v>
      </c>
      <c r="E165" t="s">
        <v>33</v>
      </c>
      <c r="F165" t="s">
        <v>17</v>
      </c>
      <c r="G165" s="1">
        <v>43891</v>
      </c>
      <c r="H165">
        <v>476460</v>
      </c>
      <c r="I165" t="str">
        <f t="shared" si="10"/>
        <v>2020</v>
      </c>
      <c r="J165" t="str">
        <f t="shared" si="11"/>
        <v>March</v>
      </c>
    </row>
    <row r="166" spans="1:10" x14ac:dyDescent="0.2">
      <c r="A166" t="s">
        <v>281</v>
      </c>
      <c r="B166" t="s">
        <v>61</v>
      </c>
      <c r="C166" t="s">
        <v>10</v>
      </c>
      <c r="D166">
        <v>60</v>
      </c>
      <c r="E166" t="s">
        <v>16</v>
      </c>
      <c r="F166" t="s">
        <v>17</v>
      </c>
      <c r="G166" s="1">
        <v>44059</v>
      </c>
      <c r="H166">
        <v>2058652</v>
      </c>
      <c r="I166" t="str">
        <f t="shared" si="10"/>
        <v>2020</v>
      </c>
      <c r="J166" t="str">
        <f t="shared" si="11"/>
        <v>August</v>
      </c>
    </row>
    <row r="167" spans="1:10" x14ac:dyDescent="0.2">
      <c r="A167" t="s">
        <v>282</v>
      </c>
      <c r="B167" t="s">
        <v>42</v>
      </c>
      <c r="C167" t="s">
        <v>10</v>
      </c>
      <c r="D167">
        <v>60</v>
      </c>
      <c r="E167" t="s">
        <v>20</v>
      </c>
      <c r="F167" t="s">
        <v>17</v>
      </c>
      <c r="G167" s="1">
        <v>44481</v>
      </c>
      <c r="H167">
        <v>1775080</v>
      </c>
      <c r="I167" t="str">
        <f t="shared" si="10"/>
        <v>2021</v>
      </c>
      <c r="J167" t="str">
        <f t="shared" si="11"/>
        <v>October</v>
      </c>
    </row>
    <row r="168" spans="1:10" x14ac:dyDescent="0.2">
      <c r="A168" t="s">
        <v>283</v>
      </c>
      <c r="B168" t="s">
        <v>284</v>
      </c>
      <c r="C168" t="s">
        <v>15</v>
      </c>
      <c r="D168">
        <v>30</v>
      </c>
      <c r="E168" t="s">
        <v>11</v>
      </c>
      <c r="F168" t="s">
        <v>17</v>
      </c>
      <c r="G168" s="1">
        <v>44083</v>
      </c>
      <c r="H168">
        <v>3235836</v>
      </c>
      <c r="I168" t="str">
        <f t="shared" si="10"/>
        <v>2020</v>
      </c>
      <c r="J168" t="str">
        <f t="shared" si="11"/>
        <v>September</v>
      </c>
    </row>
    <row r="169" spans="1:10" x14ac:dyDescent="0.2">
      <c r="A169" t="s">
        <v>285</v>
      </c>
      <c r="B169" t="s">
        <v>286</v>
      </c>
      <c r="C169" t="s">
        <v>26</v>
      </c>
      <c r="D169">
        <v>15</v>
      </c>
      <c r="E169" t="s">
        <v>16</v>
      </c>
      <c r="F169" t="s">
        <v>17</v>
      </c>
      <c r="G169" s="1">
        <v>43908</v>
      </c>
      <c r="H169">
        <v>1408549</v>
      </c>
      <c r="I169" t="str">
        <f t="shared" si="10"/>
        <v>2020</v>
      </c>
      <c r="J169" t="str">
        <f t="shared" si="11"/>
        <v>March</v>
      </c>
    </row>
    <row r="170" spans="1:10" x14ac:dyDescent="0.2">
      <c r="A170" t="s">
        <v>287</v>
      </c>
      <c r="B170" t="s">
        <v>158</v>
      </c>
      <c r="C170" t="s">
        <v>10</v>
      </c>
      <c r="D170">
        <v>15</v>
      </c>
      <c r="E170" t="s">
        <v>20</v>
      </c>
      <c r="F170" t="s">
        <v>17</v>
      </c>
      <c r="G170" s="1">
        <v>44500</v>
      </c>
      <c r="H170">
        <v>819863</v>
      </c>
      <c r="I170" t="str">
        <f t="shared" si="10"/>
        <v>2021</v>
      </c>
      <c r="J170" t="str">
        <f t="shared" si="11"/>
        <v>October</v>
      </c>
    </row>
    <row r="171" spans="1:10" x14ac:dyDescent="0.2">
      <c r="A171" t="s">
        <v>288</v>
      </c>
      <c r="B171" t="s">
        <v>83</v>
      </c>
      <c r="C171" t="s">
        <v>15</v>
      </c>
      <c r="D171">
        <v>15</v>
      </c>
      <c r="E171" t="s">
        <v>33</v>
      </c>
      <c r="F171" t="s">
        <v>17</v>
      </c>
      <c r="G171" s="1">
        <v>44193</v>
      </c>
      <c r="H171">
        <v>1042642</v>
      </c>
      <c r="I171" t="str">
        <f t="shared" si="10"/>
        <v>2020</v>
      </c>
      <c r="J171" t="str">
        <f t="shared" si="11"/>
        <v>December</v>
      </c>
    </row>
    <row r="172" spans="1:10" x14ac:dyDescent="0.2">
      <c r="A172" t="s">
        <v>289</v>
      </c>
      <c r="B172" t="s">
        <v>119</v>
      </c>
      <c r="C172" t="s">
        <v>15</v>
      </c>
      <c r="D172">
        <v>45</v>
      </c>
      <c r="E172" t="s">
        <v>33</v>
      </c>
      <c r="F172" t="s">
        <v>17</v>
      </c>
      <c r="G172" s="1">
        <v>43991</v>
      </c>
      <c r="H172">
        <v>557498</v>
      </c>
      <c r="I172" t="str">
        <f t="shared" si="10"/>
        <v>2020</v>
      </c>
      <c r="J172" t="str">
        <f t="shared" si="11"/>
        <v>June</v>
      </c>
    </row>
    <row r="173" spans="1:10" x14ac:dyDescent="0.2">
      <c r="A173" t="s">
        <v>290</v>
      </c>
      <c r="B173" t="s">
        <v>291</v>
      </c>
      <c r="C173" t="s">
        <v>15</v>
      </c>
      <c r="D173">
        <v>45</v>
      </c>
      <c r="E173" t="s">
        <v>33</v>
      </c>
      <c r="F173" t="s">
        <v>17</v>
      </c>
      <c r="G173" s="1">
        <v>44137</v>
      </c>
      <c r="H173">
        <v>2138836</v>
      </c>
      <c r="I173" t="str">
        <f t="shared" si="10"/>
        <v>2020</v>
      </c>
      <c r="J173" t="str">
        <f t="shared" si="11"/>
        <v>November</v>
      </c>
    </row>
    <row r="174" spans="1:10" x14ac:dyDescent="0.2">
      <c r="A174" t="s">
        <v>292</v>
      </c>
      <c r="B174" t="s">
        <v>9</v>
      </c>
      <c r="C174" t="s">
        <v>26</v>
      </c>
      <c r="D174">
        <v>45</v>
      </c>
      <c r="E174" t="s">
        <v>33</v>
      </c>
      <c r="F174" t="s">
        <v>17</v>
      </c>
      <c r="G174" s="1">
        <v>44185</v>
      </c>
      <c r="H174">
        <v>1338805</v>
      </c>
      <c r="I174" t="str">
        <f t="shared" si="10"/>
        <v>2020</v>
      </c>
      <c r="J174" t="str">
        <f t="shared" si="11"/>
        <v>December</v>
      </c>
    </row>
    <row r="175" spans="1:10" x14ac:dyDescent="0.2">
      <c r="A175" t="s">
        <v>293</v>
      </c>
      <c r="B175" t="s">
        <v>188</v>
      </c>
      <c r="C175" t="s">
        <v>15</v>
      </c>
      <c r="D175">
        <v>45</v>
      </c>
      <c r="E175" t="s">
        <v>40</v>
      </c>
      <c r="F175" t="s">
        <v>17</v>
      </c>
      <c r="G175" s="1">
        <v>43837</v>
      </c>
      <c r="H175">
        <v>2513277</v>
      </c>
      <c r="I175" t="str">
        <f t="shared" si="10"/>
        <v>2020</v>
      </c>
      <c r="J175" t="str">
        <f t="shared" si="11"/>
        <v>January</v>
      </c>
    </row>
    <row r="176" spans="1:10" x14ac:dyDescent="0.2">
      <c r="A176" t="s">
        <v>294</v>
      </c>
      <c r="B176" t="s">
        <v>160</v>
      </c>
      <c r="C176" t="s">
        <v>26</v>
      </c>
      <c r="D176">
        <v>30</v>
      </c>
      <c r="E176" t="s">
        <v>40</v>
      </c>
      <c r="F176" t="s">
        <v>17</v>
      </c>
      <c r="G176" s="1">
        <v>44503</v>
      </c>
      <c r="H176">
        <v>215203</v>
      </c>
      <c r="I176" t="str">
        <f t="shared" si="10"/>
        <v>2021</v>
      </c>
      <c r="J176" t="str">
        <f t="shared" si="11"/>
        <v>November</v>
      </c>
    </row>
    <row r="177" spans="1:10" x14ac:dyDescent="0.2">
      <c r="A177" t="s">
        <v>295</v>
      </c>
      <c r="B177" t="s">
        <v>271</v>
      </c>
      <c r="C177" t="s">
        <v>15</v>
      </c>
      <c r="D177">
        <v>30</v>
      </c>
      <c r="E177" t="s">
        <v>33</v>
      </c>
      <c r="F177" t="s">
        <v>17</v>
      </c>
      <c r="G177" s="1">
        <v>43931</v>
      </c>
      <c r="H177">
        <v>2979568</v>
      </c>
      <c r="I177" t="str">
        <f t="shared" si="10"/>
        <v>2020</v>
      </c>
      <c r="J177" t="str">
        <f t="shared" si="11"/>
        <v>April</v>
      </c>
    </row>
    <row r="178" spans="1:10" x14ac:dyDescent="0.2">
      <c r="A178" t="s">
        <v>296</v>
      </c>
      <c r="B178" t="s">
        <v>99</v>
      </c>
      <c r="C178" t="s">
        <v>15</v>
      </c>
      <c r="D178">
        <v>60</v>
      </c>
      <c r="E178" t="s">
        <v>33</v>
      </c>
      <c r="F178" t="s">
        <v>17</v>
      </c>
      <c r="G178" s="1">
        <v>44290</v>
      </c>
      <c r="H178">
        <v>1033467</v>
      </c>
      <c r="I178" t="str">
        <f t="shared" si="10"/>
        <v>2021</v>
      </c>
      <c r="J178" t="str">
        <f t="shared" si="11"/>
        <v>April</v>
      </c>
    </row>
    <row r="179" spans="1:10" x14ac:dyDescent="0.2">
      <c r="A179" t="s">
        <v>297</v>
      </c>
      <c r="B179" t="s">
        <v>110</v>
      </c>
      <c r="C179" t="s">
        <v>15</v>
      </c>
      <c r="D179">
        <v>60</v>
      </c>
      <c r="E179" t="s">
        <v>11</v>
      </c>
      <c r="F179" t="s">
        <v>17</v>
      </c>
      <c r="G179" s="1">
        <v>44021</v>
      </c>
      <c r="H179">
        <v>2659515</v>
      </c>
      <c r="I179" t="str">
        <f t="shared" si="10"/>
        <v>2020</v>
      </c>
      <c r="J179" t="str">
        <f t="shared" si="11"/>
        <v>July</v>
      </c>
    </row>
    <row r="180" spans="1:10" x14ac:dyDescent="0.2">
      <c r="A180" t="s">
        <v>298</v>
      </c>
      <c r="B180" t="s">
        <v>299</v>
      </c>
      <c r="C180" t="s">
        <v>10</v>
      </c>
      <c r="D180">
        <v>15</v>
      </c>
      <c r="E180" t="s">
        <v>16</v>
      </c>
      <c r="F180" t="s">
        <v>17</v>
      </c>
      <c r="G180" s="1">
        <v>44521</v>
      </c>
      <c r="H180">
        <v>3875390</v>
      </c>
      <c r="I180" t="str">
        <f t="shared" si="10"/>
        <v>2021</v>
      </c>
      <c r="J180" t="str">
        <f t="shared" si="11"/>
        <v>November</v>
      </c>
    </row>
    <row r="181" spans="1:10" x14ac:dyDescent="0.2">
      <c r="A181" t="s">
        <v>300</v>
      </c>
      <c r="B181" t="s">
        <v>42</v>
      </c>
      <c r="C181" t="s">
        <v>26</v>
      </c>
      <c r="D181">
        <v>45</v>
      </c>
      <c r="E181" t="s">
        <v>11</v>
      </c>
      <c r="F181" t="s">
        <v>17</v>
      </c>
      <c r="G181" s="1">
        <v>44490</v>
      </c>
      <c r="H181">
        <v>4052630</v>
      </c>
      <c r="I181" t="str">
        <f t="shared" si="10"/>
        <v>2021</v>
      </c>
      <c r="J181" t="str">
        <f t="shared" si="11"/>
        <v>October</v>
      </c>
    </row>
    <row r="182" spans="1:10" x14ac:dyDescent="0.2">
      <c r="A182" t="s">
        <v>301</v>
      </c>
      <c r="B182" t="s">
        <v>129</v>
      </c>
      <c r="C182" t="s">
        <v>15</v>
      </c>
      <c r="D182">
        <v>30</v>
      </c>
      <c r="E182" t="s">
        <v>33</v>
      </c>
      <c r="F182" t="s">
        <v>17</v>
      </c>
      <c r="G182" s="1">
        <v>44251</v>
      </c>
      <c r="H182">
        <v>290825</v>
      </c>
      <c r="I182" t="str">
        <f t="shared" si="10"/>
        <v>2021</v>
      </c>
      <c r="J182" t="str">
        <f t="shared" si="11"/>
        <v>February</v>
      </c>
    </row>
    <row r="183" spans="1:10" x14ac:dyDescent="0.2">
      <c r="A183" t="s">
        <v>302</v>
      </c>
      <c r="B183" t="s">
        <v>81</v>
      </c>
      <c r="C183" t="s">
        <v>26</v>
      </c>
      <c r="D183">
        <v>60</v>
      </c>
      <c r="E183" t="s">
        <v>20</v>
      </c>
      <c r="F183" t="s">
        <v>17</v>
      </c>
      <c r="G183" s="1">
        <v>44483</v>
      </c>
      <c r="H183">
        <v>2883983</v>
      </c>
      <c r="I183" t="str">
        <f t="shared" si="10"/>
        <v>2021</v>
      </c>
      <c r="J183" t="str">
        <f t="shared" si="11"/>
        <v>October</v>
      </c>
    </row>
    <row r="184" spans="1:10" x14ac:dyDescent="0.2">
      <c r="A184" t="s">
        <v>303</v>
      </c>
      <c r="B184" t="s">
        <v>304</v>
      </c>
      <c r="C184" t="s">
        <v>26</v>
      </c>
      <c r="D184">
        <v>15</v>
      </c>
      <c r="E184" t="s">
        <v>40</v>
      </c>
      <c r="F184" t="s">
        <v>17</v>
      </c>
      <c r="G184" s="1">
        <v>44341</v>
      </c>
      <c r="H184">
        <v>1853299</v>
      </c>
      <c r="I184" t="str">
        <f t="shared" si="10"/>
        <v>2021</v>
      </c>
      <c r="J184" t="str">
        <f t="shared" si="11"/>
        <v>May</v>
      </c>
    </row>
    <row r="185" spans="1:10" x14ac:dyDescent="0.2">
      <c r="A185" t="s">
        <v>305</v>
      </c>
      <c r="B185" t="s">
        <v>306</v>
      </c>
      <c r="C185" t="s">
        <v>15</v>
      </c>
      <c r="D185">
        <v>15</v>
      </c>
      <c r="E185" t="s">
        <v>23</v>
      </c>
      <c r="F185" t="s">
        <v>12</v>
      </c>
      <c r="G185" s="1">
        <v>44031</v>
      </c>
      <c r="H185">
        <v>4613116</v>
      </c>
      <c r="I185" t="str">
        <f t="shared" si="10"/>
        <v>2020</v>
      </c>
      <c r="J185" t="str">
        <f t="shared" si="11"/>
        <v>July</v>
      </c>
    </row>
    <row r="186" spans="1:10" x14ac:dyDescent="0.2">
      <c r="A186" t="s">
        <v>307</v>
      </c>
      <c r="B186" t="s">
        <v>202</v>
      </c>
      <c r="C186" t="s">
        <v>15</v>
      </c>
      <c r="D186">
        <v>45</v>
      </c>
      <c r="E186" t="s">
        <v>40</v>
      </c>
      <c r="F186" t="s">
        <v>17</v>
      </c>
      <c r="G186" s="1">
        <v>44463</v>
      </c>
      <c r="H186">
        <v>1877338</v>
      </c>
      <c r="I186" t="str">
        <f t="shared" si="10"/>
        <v>2021</v>
      </c>
      <c r="J186" t="str">
        <f t="shared" si="11"/>
        <v>September</v>
      </c>
    </row>
    <row r="187" spans="1:10" x14ac:dyDescent="0.2">
      <c r="A187" t="s">
        <v>308</v>
      </c>
      <c r="B187" t="s">
        <v>186</v>
      </c>
      <c r="C187" t="s">
        <v>10</v>
      </c>
      <c r="D187">
        <v>45</v>
      </c>
      <c r="E187" t="s">
        <v>40</v>
      </c>
      <c r="F187" t="s">
        <v>17</v>
      </c>
      <c r="G187" s="1">
        <v>44459</v>
      </c>
      <c r="H187">
        <v>1809609</v>
      </c>
      <c r="I187" t="str">
        <f t="shared" si="10"/>
        <v>2021</v>
      </c>
      <c r="J187" t="str">
        <f t="shared" si="11"/>
        <v>September</v>
      </c>
    </row>
    <row r="188" spans="1:10" x14ac:dyDescent="0.2">
      <c r="A188" t="s">
        <v>309</v>
      </c>
      <c r="B188" t="s">
        <v>164</v>
      </c>
      <c r="C188" t="s">
        <v>15</v>
      </c>
      <c r="D188">
        <v>15</v>
      </c>
      <c r="E188" t="s">
        <v>20</v>
      </c>
      <c r="F188" t="s">
        <v>17</v>
      </c>
      <c r="G188" s="1">
        <v>44326</v>
      </c>
      <c r="H188">
        <v>4683738</v>
      </c>
      <c r="I188" t="str">
        <f t="shared" si="10"/>
        <v>2021</v>
      </c>
      <c r="J188" t="str">
        <f t="shared" si="11"/>
        <v>May</v>
      </c>
    </row>
    <row r="189" spans="1:10" x14ac:dyDescent="0.2">
      <c r="A189" t="s">
        <v>310</v>
      </c>
      <c r="B189" t="s">
        <v>77</v>
      </c>
      <c r="C189" t="s">
        <v>26</v>
      </c>
      <c r="D189">
        <v>45</v>
      </c>
      <c r="E189" t="s">
        <v>20</v>
      </c>
      <c r="F189" t="s">
        <v>17</v>
      </c>
      <c r="G189" s="1">
        <v>44018</v>
      </c>
      <c r="H189">
        <v>4489472</v>
      </c>
      <c r="I189" t="str">
        <f t="shared" si="10"/>
        <v>2020</v>
      </c>
      <c r="J189" t="str">
        <f t="shared" si="11"/>
        <v>July</v>
      </c>
    </row>
    <row r="190" spans="1:10" x14ac:dyDescent="0.2">
      <c r="A190" t="s">
        <v>311</v>
      </c>
      <c r="B190" t="s">
        <v>232</v>
      </c>
      <c r="C190" t="s">
        <v>26</v>
      </c>
      <c r="D190">
        <v>45</v>
      </c>
      <c r="E190" t="s">
        <v>40</v>
      </c>
      <c r="F190" t="s">
        <v>17</v>
      </c>
      <c r="G190" s="1">
        <v>44168</v>
      </c>
      <c r="H190">
        <v>2269780</v>
      </c>
      <c r="I190" t="str">
        <f t="shared" si="10"/>
        <v>2020</v>
      </c>
      <c r="J190" t="str">
        <f t="shared" si="11"/>
        <v>December</v>
      </c>
    </row>
    <row r="191" spans="1:10" x14ac:dyDescent="0.2">
      <c r="A191" t="s">
        <v>312</v>
      </c>
      <c r="B191" t="s">
        <v>123</v>
      </c>
      <c r="C191" t="s">
        <v>10</v>
      </c>
      <c r="D191">
        <v>60</v>
      </c>
      <c r="E191" t="s">
        <v>23</v>
      </c>
      <c r="F191" t="s">
        <v>17</v>
      </c>
      <c r="G191" s="1">
        <v>44368</v>
      </c>
      <c r="H191">
        <v>4703668</v>
      </c>
      <c r="I191" t="str">
        <f t="shared" si="10"/>
        <v>2021</v>
      </c>
      <c r="J191" t="str">
        <f t="shared" si="11"/>
        <v>June</v>
      </c>
    </row>
    <row r="192" spans="1:10" x14ac:dyDescent="0.2">
      <c r="A192" t="s">
        <v>313</v>
      </c>
      <c r="B192" t="s">
        <v>314</v>
      </c>
      <c r="C192" t="s">
        <v>15</v>
      </c>
      <c r="D192">
        <v>60</v>
      </c>
      <c r="E192" t="s">
        <v>33</v>
      </c>
      <c r="F192" t="s">
        <v>17</v>
      </c>
      <c r="G192" s="1">
        <v>44365</v>
      </c>
      <c r="H192">
        <v>4151918</v>
      </c>
      <c r="I192" t="str">
        <f t="shared" si="10"/>
        <v>2021</v>
      </c>
      <c r="J192" t="str">
        <f t="shared" si="11"/>
        <v>June</v>
      </c>
    </row>
    <row r="193" spans="1:10" x14ac:dyDescent="0.2">
      <c r="A193" t="s">
        <v>315</v>
      </c>
      <c r="B193" t="s">
        <v>212</v>
      </c>
      <c r="C193" t="s">
        <v>26</v>
      </c>
      <c r="D193">
        <v>60</v>
      </c>
      <c r="E193" t="s">
        <v>33</v>
      </c>
      <c r="F193" t="s">
        <v>17</v>
      </c>
      <c r="G193" s="1">
        <v>44024</v>
      </c>
      <c r="H193">
        <v>1285708</v>
      </c>
      <c r="I193" t="str">
        <f t="shared" si="10"/>
        <v>2020</v>
      </c>
      <c r="J193" t="str">
        <f t="shared" si="11"/>
        <v>July</v>
      </c>
    </row>
    <row r="194" spans="1:10" x14ac:dyDescent="0.2">
      <c r="A194" t="s">
        <v>316</v>
      </c>
      <c r="B194" t="s">
        <v>317</v>
      </c>
      <c r="C194" t="s">
        <v>26</v>
      </c>
      <c r="D194">
        <v>30</v>
      </c>
      <c r="E194" t="s">
        <v>33</v>
      </c>
      <c r="F194" t="s">
        <v>17</v>
      </c>
      <c r="G194" s="1">
        <v>43890</v>
      </c>
      <c r="H194">
        <v>254254</v>
      </c>
      <c r="I194" t="str">
        <f t="shared" ref="I194:I201" si="12">TEXT(G194,"yyyy")</f>
        <v>2020</v>
      </c>
      <c r="J194" t="str">
        <f t="shared" ref="J194:J201" si="13">TEXT(G194,"mmmm")</f>
        <v>February</v>
      </c>
    </row>
    <row r="195" spans="1:10" x14ac:dyDescent="0.2">
      <c r="A195" t="s">
        <v>318</v>
      </c>
      <c r="B195" t="s">
        <v>260</v>
      </c>
      <c r="C195" t="s">
        <v>26</v>
      </c>
      <c r="D195">
        <v>45</v>
      </c>
      <c r="E195" t="s">
        <v>20</v>
      </c>
      <c r="F195" t="s">
        <v>17</v>
      </c>
      <c r="G195" s="1">
        <v>44308</v>
      </c>
      <c r="H195">
        <v>3259205</v>
      </c>
      <c r="I195" t="str">
        <f t="shared" si="12"/>
        <v>2021</v>
      </c>
      <c r="J195" t="str">
        <f t="shared" si="13"/>
        <v>April</v>
      </c>
    </row>
    <row r="196" spans="1:10" x14ac:dyDescent="0.2">
      <c r="A196" t="s">
        <v>319</v>
      </c>
      <c r="B196" t="s">
        <v>96</v>
      </c>
      <c r="C196" t="s">
        <v>26</v>
      </c>
      <c r="D196">
        <v>60</v>
      </c>
      <c r="E196" t="s">
        <v>40</v>
      </c>
      <c r="F196" t="s">
        <v>17</v>
      </c>
      <c r="G196" s="1">
        <v>43979</v>
      </c>
      <c r="H196">
        <v>4990599</v>
      </c>
      <c r="I196" t="str">
        <f t="shared" si="12"/>
        <v>2020</v>
      </c>
      <c r="J196" t="str">
        <f t="shared" si="13"/>
        <v>May</v>
      </c>
    </row>
    <row r="197" spans="1:10" x14ac:dyDescent="0.2">
      <c r="A197" t="s">
        <v>320</v>
      </c>
      <c r="B197" t="s">
        <v>284</v>
      </c>
      <c r="C197" t="s">
        <v>26</v>
      </c>
      <c r="D197">
        <v>60</v>
      </c>
      <c r="E197" t="s">
        <v>16</v>
      </c>
      <c r="F197" t="s">
        <v>17</v>
      </c>
      <c r="G197" s="1">
        <v>43922</v>
      </c>
      <c r="H197">
        <v>4519111</v>
      </c>
      <c r="I197" t="str">
        <f t="shared" si="12"/>
        <v>2020</v>
      </c>
      <c r="J197" t="str">
        <f t="shared" si="13"/>
        <v>April</v>
      </c>
    </row>
    <row r="198" spans="1:10" x14ac:dyDescent="0.2">
      <c r="A198" t="s">
        <v>321</v>
      </c>
      <c r="B198" t="s">
        <v>92</v>
      </c>
      <c r="C198" t="s">
        <v>15</v>
      </c>
      <c r="D198">
        <v>15</v>
      </c>
      <c r="E198" t="s">
        <v>20</v>
      </c>
      <c r="F198" t="s">
        <v>17</v>
      </c>
      <c r="G198" s="1">
        <v>44379</v>
      </c>
      <c r="H198">
        <v>464753</v>
      </c>
      <c r="I198" t="str">
        <f t="shared" si="12"/>
        <v>2021</v>
      </c>
      <c r="J198" t="str">
        <f t="shared" si="13"/>
        <v>July</v>
      </c>
    </row>
    <row r="199" spans="1:10" x14ac:dyDescent="0.2">
      <c r="A199" t="s">
        <v>322</v>
      </c>
      <c r="B199" t="s">
        <v>323</v>
      </c>
      <c r="C199" t="s">
        <v>10</v>
      </c>
      <c r="D199">
        <v>60</v>
      </c>
      <c r="E199" t="s">
        <v>16</v>
      </c>
      <c r="F199" t="s">
        <v>17</v>
      </c>
      <c r="G199" s="1">
        <v>43991</v>
      </c>
      <c r="H199">
        <v>2242923</v>
      </c>
      <c r="I199" t="str">
        <f t="shared" si="12"/>
        <v>2020</v>
      </c>
      <c r="J199" t="str">
        <f t="shared" si="13"/>
        <v>June</v>
      </c>
    </row>
    <row r="200" spans="1:10" x14ac:dyDescent="0.2">
      <c r="A200" t="s">
        <v>324</v>
      </c>
      <c r="B200" t="s">
        <v>39</v>
      </c>
      <c r="C200" t="s">
        <v>15</v>
      </c>
      <c r="D200">
        <v>15</v>
      </c>
      <c r="E200" t="s">
        <v>11</v>
      </c>
      <c r="F200" t="s">
        <v>17</v>
      </c>
      <c r="G200" s="1">
        <v>43991</v>
      </c>
      <c r="H200">
        <v>1528744</v>
      </c>
      <c r="I200" t="str">
        <f t="shared" si="12"/>
        <v>2020</v>
      </c>
      <c r="J200" t="str">
        <f t="shared" si="13"/>
        <v>June</v>
      </c>
    </row>
    <row r="201" spans="1:10" x14ac:dyDescent="0.2">
      <c r="A201" t="s">
        <v>325</v>
      </c>
      <c r="B201" t="s">
        <v>81</v>
      </c>
      <c r="C201" t="s">
        <v>10</v>
      </c>
      <c r="D201">
        <v>45</v>
      </c>
      <c r="E201" t="s">
        <v>16</v>
      </c>
      <c r="F201" t="s">
        <v>12</v>
      </c>
      <c r="G201" s="1">
        <v>44137</v>
      </c>
      <c r="H201">
        <v>604239</v>
      </c>
      <c r="I201" t="str">
        <f t="shared" si="12"/>
        <v>2020</v>
      </c>
      <c r="J201" t="str">
        <f t="shared" si="13"/>
        <v>November</v>
      </c>
    </row>
  </sheetData>
  <pageMargins left="0.75" right="0.75" top="1" bottom="1" header="0.5" footer="0.5"/>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402F-7334-4E7B-8003-1E618E7FD509}">
  <dimension ref="A3:H138"/>
  <sheetViews>
    <sheetView topLeftCell="A102" zoomScale="70" zoomScaleNormal="70" workbookViewId="0">
      <selection activeCell="B97" sqref="B97"/>
    </sheetView>
  </sheetViews>
  <sheetFormatPr baseColWidth="10" defaultColWidth="8.83203125" defaultRowHeight="16" x14ac:dyDescent="0.2"/>
  <cols>
    <col min="1" max="1" width="10.83203125" bestFit="1" customWidth="1"/>
    <col min="2" max="2" width="5.33203125" bestFit="1" customWidth="1"/>
    <col min="3" max="3" width="9.83203125" bestFit="1" customWidth="1"/>
    <col min="4" max="4" width="10.5" bestFit="1" customWidth="1"/>
    <col min="5" max="5" width="24.6640625" bestFit="1" customWidth="1"/>
    <col min="6" max="201" width="24.5" bestFit="1" customWidth="1"/>
    <col min="202" max="202" width="10.33203125" bestFit="1" customWidth="1"/>
    <col min="203" max="203" width="11.83203125" bestFit="1" customWidth="1"/>
    <col min="204" max="204" width="10.33203125" bestFit="1" customWidth="1"/>
  </cols>
  <sheetData>
    <row r="3" spans="1:8" x14ac:dyDescent="0.2">
      <c r="A3" s="3" t="s">
        <v>331</v>
      </c>
      <c r="B3" s="6" t="s">
        <v>329</v>
      </c>
    </row>
    <row r="4" spans="1:8" x14ac:dyDescent="0.2">
      <c r="A4" s="5" t="s">
        <v>329</v>
      </c>
      <c r="B4" s="33">
        <v>200</v>
      </c>
      <c r="C4">
        <f>GETPIVOTDATA("customer_id",$A$3)</f>
        <v>200</v>
      </c>
    </row>
    <row r="11" spans="1:8" x14ac:dyDescent="0.2">
      <c r="E11" t="s">
        <v>337</v>
      </c>
      <c r="F11">
        <f>GETPIVOTDATA("customer_type",$A$19,"customer_type","Contract")</f>
        <v>75</v>
      </c>
      <c r="G11" s="10">
        <f>F11/($F$11+$F$12)</f>
        <v>0.375</v>
      </c>
      <c r="H11" s="11"/>
    </row>
    <row r="12" spans="1:8" x14ac:dyDescent="0.2">
      <c r="E12" t="s">
        <v>333</v>
      </c>
      <c r="F12">
        <f>GETPIVOTDATA("customer_type",$A$19,"customer_type","Dedicated")+GETPIVOTDATA("customer_type",$A$19,"customer_type","Spot")</f>
        <v>125</v>
      </c>
      <c r="G12" s="10">
        <f>F12/($F$11+$F$12)</f>
        <v>0.625</v>
      </c>
      <c r="H12" s="11"/>
    </row>
    <row r="17" spans="1:8" x14ac:dyDescent="0.2">
      <c r="E17" t="s">
        <v>336</v>
      </c>
      <c r="F17">
        <f>GETPIVOTDATA("customer_type",$A$19,"customer_type","Dedicated")</f>
        <v>62</v>
      </c>
      <c r="G17" s="10">
        <f>F17/($F$17+$F$18)</f>
        <v>0.31</v>
      </c>
      <c r="H17" s="10"/>
    </row>
    <row r="18" spans="1:8" x14ac:dyDescent="0.2">
      <c r="E18" t="s">
        <v>334</v>
      </c>
      <c r="F18">
        <f>GETPIVOTDATA("customer_type",$A$19,"customer_type","Spot")+GETPIVOTDATA("customer_type",$A$19,"customer_type","Contract")</f>
        <v>138</v>
      </c>
      <c r="G18" s="10">
        <f>F18/($F$17+$F$18)</f>
        <v>0.69</v>
      </c>
      <c r="H18" s="10"/>
    </row>
    <row r="19" spans="1:8" x14ac:dyDescent="0.2">
      <c r="A19" s="3" t="s">
        <v>342</v>
      </c>
      <c r="B19" s="6"/>
    </row>
    <row r="20" spans="1:8" x14ac:dyDescent="0.2">
      <c r="A20" s="3" t="s">
        <v>2</v>
      </c>
      <c r="B20" s="6" t="s">
        <v>329</v>
      </c>
    </row>
    <row r="21" spans="1:8" x14ac:dyDescent="0.2">
      <c r="A21" s="2" t="s">
        <v>15</v>
      </c>
      <c r="B21" s="31">
        <v>75</v>
      </c>
    </row>
    <row r="22" spans="1:8" x14ac:dyDescent="0.2">
      <c r="A22" s="4" t="s">
        <v>10</v>
      </c>
      <c r="B22" s="32">
        <v>62</v>
      </c>
    </row>
    <row r="23" spans="1:8" x14ac:dyDescent="0.2">
      <c r="A23" s="4" t="s">
        <v>26</v>
      </c>
      <c r="B23" s="32">
        <v>63</v>
      </c>
      <c r="E23" t="s">
        <v>335</v>
      </c>
      <c r="F23">
        <f>GETPIVOTDATA("customer_type",$A$19,"customer_type","Spot")</f>
        <v>63</v>
      </c>
      <c r="G23" s="10">
        <f>F23/($F$23+$F$24)</f>
        <v>0.315</v>
      </c>
      <c r="H23" s="10"/>
    </row>
    <row r="24" spans="1:8" x14ac:dyDescent="0.2">
      <c r="A24" s="5" t="s">
        <v>328</v>
      </c>
      <c r="B24" s="33">
        <v>200</v>
      </c>
      <c r="E24" t="s">
        <v>333</v>
      </c>
      <c r="F24">
        <f>GETPIVOTDATA("customer_type",$A$19,"customer_type","Dedicated")+GETPIVOTDATA("customer_type",$A$19,"customer_type","Contract")</f>
        <v>137</v>
      </c>
      <c r="G24" s="10">
        <f>F24/($F$23+$F$24)</f>
        <v>0.68500000000000005</v>
      </c>
      <c r="H24" s="10"/>
    </row>
    <row r="34" spans="1:7" x14ac:dyDescent="0.2">
      <c r="A34" s="3" t="s">
        <v>332</v>
      </c>
      <c r="B34" s="6"/>
    </row>
    <row r="35" spans="1:7" x14ac:dyDescent="0.2">
      <c r="A35" s="3" t="s">
        <v>5</v>
      </c>
      <c r="B35" s="6" t="s">
        <v>329</v>
      </c>
    </row>
    <row r="36" spans="1:7" x14ac:dyDescent="0.2">
      <c r="A36" s="2" t="s">
        <v>17</v>
      </c>
      <c r="B36" s="31">
        <v>168</v>
      </c>
      <c r="D36" t="s">
        <v>338</v>
      </c>
      <c r="E36">
        <f>GETPIVOTDATA("account_status",$A$34,"account_status",A36)</f>
        <v>168</v>
      </c>
      <c r="F36" s="10">
        <f>E36/($E$36+$E$37)</f>
        <v>0.84</v>
      </c>
      <c r="G36" t="s">
        <v>338</v>
      </c>
    </row>
    <row r="37" spans="1:7" x14ac:dyDescent="0.2">
      <c r="A37" s="4" t="s">
        <v>12</v>
      </c>
      <c r="B37" s="32">
        <v>32</v>
      </c>
      <c r="D37" t="s">
        <v>339</v>
      </c>
      <c r="E37">
        <f>GETPIVOTDATA("account_status",$A$34,"account_status","Inactive")</f>
        <v>32</v>
      </c>
      <c r="F37" s="10">
        <f>E37/($E$36+$E$37)</f>
        <v>0.16</v>
      </c>
      <c r="G37" t="s">
        <v>339</v>
      </c>
    </row>
    <row r="38" spans="1:7" x14ac:dyDescent="0.2">
      <c r="A38" s="5" t="s">
        <v>328</v>
      </c>
      <c r="B38" s="33">
        <v>200</v>
      </c>
    </row>
    <row r="47" spans="1:7" x14ac:dyDescent="0.2">
      <c r="A47" s="3" t="s">
        <v>341</v>
      </c>
      <c r="B47" s="6"/>
    </row>
    <row r="48" spans="1:7" x14ac:dyDescent="0.2">
      <c r="A48" s="3" t="s">
        <v>4</v>
      </c>
      <c r="B48" s="6" t="s">
        <v>329</v>
      </c>
    </row>
    <row r="49" spans="1:6" x14ac:dyDescent="0.2">
      <c r="A49" s="2" t="s">
        <v>33</v>
      </c>
      <c r="B49" s="31">
        <v>41</v>
      </c>
      <c r="D49">
        <f>GETPIVOTDATA("primary_freight_type",$A$47,"primary_freight_type",A49)</f>
        <v>41</v>
      </c>
      <c r="E49" s="10">
        <f>D49/($D$50+$D$51+$D$52+$D$53+$D$54)</f>
        <v>0.25786163522012578</v>
      </c>
      <c r="F49" s="2" t="s">
        <v>33</v>
      </c>
    </row>
    <row r="50" spans="1:6" x14ac:dyDescent="0.2">
      <c r="A50" s="4" t="s">
        <v>20</v>
      </c>
      <c r="B50" s="32">
        <v>30</v>
      </c>
      <c r="D50">
        <f t="shared" ref="D50:D54" si="0">GETPIVOTDATA("primary_freight_type",$A$47,"primary_freight_type",A50)</f>
        <v>30</v>
      </c>
      <c r="E50" s="10">
        <f t="shared" ref="E50:E54" si="1">D50/($D$50+$D$51+$D$52+$D$53+$D$54)</f>
        <v>0.18867924528301888</v>
      </c>
      <c r="F50" s="4" t="s">
        <v>20</v>
      </c>
    </row>
    <row r="51" spans="1:6" x14ac:dyDescent="0.2">
      <c r="A51" s="4" t="s">
        <v>40</v>
      </c>
      <c r="B51" s="32">
        <v>33</v>
      </c>
      <c r="D51">
        <f t="shared" si="0"/>
        <v>33</v>
      </c>
      <c r="E51" s="10">
        <f t="shared" si="1"/>
        <v>0.20754716981132076</v>
      </c>
      <c r="F51" s="4" t="s">
        <v>40</v>
      </c>
    </row>
    <row r="52" spans="1:6" x14ac:dyDescent="0.2">
      <c r="A52" s="4" t="s">
        <v>23</v>
      </c>
      <c r="B52" s="32">
        <v>37</v>
      </c>
      <c r="D52">
        <f t="shared" si="0"/>
        <v>37</v>
      </c>
      <c r="E52" s="10">
        <f t="shared" si="1"/>
        <v>0.23270440251572327</v>
      </c>
      <c r="F52" s="4" t="s">
        <v>23</v>
      </c>
    </row>
    <row r="53" spans="1:6" x14ac:dyDescent="0.2">
      <c r="A53" s="4" t="s">
        <v>11</v>
      </c>
      <c r="B53" s="32">
        <v>24</v>
      </c>
      <c r="D53">
        <f t="shared" si="0"/>
        <v>24</v>
      </c>
      <c r="E53" s="10">
        <f t="shared" si="1"/>
        <v>0.15094339622641509</v>
      </c>
      <c r="F53" s="4" t="s">
        <v>11</v>
      </c>
    </row>
    <row r="54" spans="1:6" x14ac:dyDescent="0.2">
      <c r="A54" s="4" t="s">
        <v>16</v>
      </c>
      <c r="B54" s="32">
        <v>35</v>
      </c>
      <c r="D54">
        <f t="shared" si="0"/>
        <v>35</v>
      </c>
      <c r="E54" s="10">
        <f t="shared" si="1"/>
        <v>0.22012578616352202</v>
      </c>
      <c r="F54" s="4" t="s">
        <v>16</v>
      </c>
    </row>
    <row r="55" spans="1:6" x14ac:dyDescent="0.2">
      <c r="A55" s="5" t="s">
        <v>328</v>
      </c>
      <c r="B55" s="33">
        <v>200</v>
      </c>
    </row>
    <row r="60" spans="1:6" x14ac:dyDescent="0.2">
      <c r="A60" s="8" t="s">
        <v>326</v>
      </c>
      <c r="B60" s="7" t="s">
        <v>330</v>
      </c>
    </row>
    <row r="62" spans="1:6" x14ac:dyDescent="0.2">
      <c r="A62" s="3" t="s">
        <v>340</v>
      </c>
      <c r="B62" s="6"/>
    </row>
    <row r="63" spans="1:6" x14ac:dyDescent="0.2">
      <c r="A63" s="3" t="s">
        <v>1</v>
      </c>
      <c r="B63" s="6" t="s">
        <v>329</v>
      </c>
    </row>
    <row r="64" spans="1:6" x14ac:dyDescent="0.2">
      <c r="A64" s="2" t="s">
        <v>39</v>
      </c>
      <c r="B64" s="31">
        <v>18616309</v>
      </c>
    </row>
    <row r="65" spans="1:2" x14ac:dyDescent="0.2">
      <c r="A65" s="4" t="s">
        <v>35</v>
      </c>
      <c r="B65" s="32">
        <v>14777912</v>
      </c>
    </row>
    <row r="66" spans="1:2" x14ac:dyDescent="0.2">
      <c r="A66" s="4" t="s">
        <v>99</v>
      </c>
      <c r="B66" s="32">
        <v>12299873</v>
      </c>
    </row>
    <row r="67" spans="1:2" x14ac:dyDescent="0.2">
      <c r="A67" s="4" t="s">
        <v>140</v>
      </c>
      <c r="B67" s="32">
        <v>11600451</v>
      </c>
    </row>
    <row r="68" spans="1:2" x14ac:dyDescent="0.2">
      <c r="A68" s="4" t="s">
        <v>61</v>
      </c>
      <c r="B68" s="32">
        <v>10881102</v>
      </c>
    </row>
    <row r="69" spans="1:2" x14ac:dyDescent="0.2">
      <c r="A69" s="4" t="s">
        <v>96</v>
      </c>
      <c r="B69" s="32">
        <v>10024878</v>
      </c>
    </row>
    <row r="70" spans="1:2" x14ac:dyDescent="0.2">
      <c r="A70" s="4" t="s">
        <v>110</v>
      </c>
      <c r="B70" s="32">
        <v>9712285</v>
      </c>
    </row>
    <row r="71" spans="1:2" x14ac:dyDescent="0.2">
      <c r="A71" s="4" t="s">
        <v>123</v>
      </c>
      <c r="B71" s="32">
        <v>9709495</v>
      </c>
    </row>
    <row r="72" spans="1:2" x14ac:dyDescent="0.2">
      <c r="A72" s="4" t="s">
        <v>119</v>
      </c>
      <c r="B72" s="32">
        <v>9453147</v>
      </c>
    </row>
    <row r="73" spans="1:2" x14ac:dyDescent="0.2">
      <c r="A73" s="4" t="s">
        <v>107</v>
      </c>
      <c r="B73" s="32">
        <v>9314443</v>
      </c>
    </row>
    <row r="74" spans="1:2" x14ac:dyDescent="0.2">
      <c r="A74" s="5" t="s">
        <v>328</v>
      </c>
      <c r="B74" s="33">
        <v>116389895</v>
      </c>
    </row>
    <row r="85" spans="1:2" x14ac:dyDescent="0.2">
      <c r="A85" s="3" t="s">
        <v>343</v>
      </c>
      <c r="B85" s="6" t="s">
        <v>329</v>
      </c>
    </row>
    <row r="86" spans="1:2" x14ac:dyDescent="0.2">
      <c r="A86" s="5" t="s">
        <v>329</v>
      </c>
      <c r="B86" s="29">
        <v>2688236.7450000001</v>
      </c>
    </row>
    <row r="93" spans="1:2" x14ac:dyDescent="0.2">
      <c r="A93" s="3" t="s">
        <v>340</v>
      </c>
      <c r="B93" s="6" t="s">
        <v>329</v>
      </c>
    </row>
    <row r="94" spans="1:2" x14ac:dyDescent="0.2">
      <c r="A94" s="5" t="s">
        <v>329</v>
      </c>
      <c r="B94" s="29">
        <v>537647349</v>
      </c>
    </row>
    <row r="97" spans="1:2" x14ac:dyDescent="0.2">
      <c r="A97" t="s">
        <v>344</v>
      </c>
      <c r="B97" s="30">
        <f>B94/B4</f>
        <v>2688236.7450000001</v>
      </c>
    </row>
    <row r="103" spans="1:2" x14ac:dyDescent="0.2">
      <c r="A103" s="3" t="s">
        <v>345</v>
      </c>
      <c r="B103" s="6"/>
    </row>
    <row r="104" spans="1:2" x14ac:dyDescent="0.2">
      <c r="A104" s="3" t="s">
        <v>3</v>
      </c>
      <c r="B104" s="6" t="s">
        <v>329</v>
      </c>
    </row>
    <row r="105" spans="1:2" x14ac:dyDescent="0.2">
      <c r="A105" s="2">
        <v>15</v>
      </c>
      <c r="B105" s="13">
        <v>49</v>
      </c>
    </row>
    <row r="106" spans="1:2" x14ac:dyDescent="0.2">
      <c r="A106" s="4">
        <v>30</v>
      </c>
      <c r="B106" s="14">
        <v>55</v>
      </c>
    </row>
    <row r="107" spans="1:2" x14ac:dyDescent="0.2">
      <c r="A107" s="4">
        <v>45</v>
      </c>
      <c r="B107" s="14">
        <v>41</v>
      </c>
    </row>
    <row r="108" spans="1:2" x14ac:dyDescent="0.2">
      <c r="A108" s="4">
        <v>60</v>
      </c>
      <c r="B108" s="14">
        <v>55</v>
      </c>
    </row>
    <row r="109" spans="1:2" x14ac:dyDescent="0.2">
      <c r="A109" s="5" t="s">
        <v>328</v>
      </c>
      <c r="B109" s="12">
        <v>200</v>
      </c>
    </row>
    <row r="113" spans="1:7" x14ac:dyDescent="0.2">
      <c r="A113" s="2"/>
      <c r="B113" s="2"/>
      <c r="C113" s="15"/>
      <c r="D113" s="15"/>
      <c r="E113" s="15"/>
      <c r="F113" s="15"/>
      <c r="G113" s="16"/>
    </row>
    <row r="114" spans="1:7" x14ac:dyDescent="0.2">
      <c r="A114" s="3" t="s">
        <v>326</v>
      </c>
      <c r="B114" s="17"/>
      <c r="C114" s="18"/>
      <c r="D114" s="18"/>
      <c r="E114" s="18"/>
      <c r="F114" s="18"/>
      <c r="G114" s="19"/>
    </row>
    <row r="115" spans="1:7" x14ac:dyDescent="0.2">
      <c r="A115" s="2" t="s">
        <v>346</v>
      </c>
      <c r="B115" s="20"/>
      <c r="C115" s="21"/>
      <c r="D115" s="21"/>
      <c r="E115" s="21"/>
      <c r="F115" s="21"/>
      <c r="G115" s="22"/>
    </row>
    <row r="116" spans="1:7" x14ac:dyDescent="0.2">
      <c r="A116" s="4" t="s">
        <v>347</v>
      </c>
      <c r="B116" s="23"/>
      <c r="C116" s="24"/>
      <c r="D116" s="24"/>
      <c r="E116" s="24"/>
      <c r="F116" s="24"/>
      <c r="G116" s="25"/>
    </row>
    <row r="117" spans="1:7" x14ac:dyDescent="0.2">
      <c r="A117" s="4" t="s">
        <v>348</v>
      </c>
      <c r="B117" s="23"/>
      <c r="C117" s="24"/>
      <c r="D117" s="24"/>
      <c r="E117" s="24"/>
      <c r="F117" s="24"/>
      <c r="G117" s="25"/>
    </row>
    <row r="118" spans="1:7" x14ac:dyDescent="0.2">
      <c r="A118" s="5" t="s">
        <v>328</v>
      </c>
      <c r="B118" s="26"/>
      <c r="C118" s="27"/>
      <c r="D118" s="27"/>
      <c r="E118" s="27"/>
      <c r="F118" s="27"/>
      <c r="G118" s="28"/>
    </row>
    <row r="124" spans="1:7" x14ac:dyDescent="0.2">
      <c r="A124" s="2"/>
      <c r="B124" s="2"/>
      <c r="C124" s="15"/>
      <c r="D124" s="15"/>
      <c r="E124" s="15"/>
      <c r="F124" s="15"/>
      <c r="G124" s="16"/>
    </row>
    <row r="125" spans="1:7" x14ac:dyDescent="0.2">
      <c r="A125" s="3" t="s">
        <v>327</v>
      </c>
      <c r="B125" s="17"/>
      <c r="C125" s="18"/>
      <c r="D125" s="18"/>
      <c r="E125" s="18"/>
      <c r="F125" s="18"/>
      <c r="G125" s="19"/>
    </row>
    <row r="126" spans="1:7" x14ac:dyDescent="0.2">
      <c r="A126" s="2" t="s">
        <v>349</v>
      </c>
      <c r="B126" s="20"/>
      <c r="C126" s="21"/>
      <c r="D126" s="21"/>
      <c r="E126" s="21"/>
      <c r="F126" s="21"/>
      <c r="G126" s="22"/>
    </row>
    <row r="127" spans="1:7" x14ac:dyDescent="0.2">
      <c r="A127" s="4" t="s">
        <v>350</v>
      </c>
      <c r="B127" s="23"/>
      <c r="C127" s="24"/>
      <c r="D127" s="24"/>
      <c r="E127" s="24"/>
      <c r="F127" s="24"/>
      <c r="G127" s="25"/>
    </row>
    <row r="128" spans="1:7" x14ac:dyDescent="0.2">
      <c r="A128" s="4" t="s">
        <v>351</v>
      </c>
      <c r="B128" s="23"/>
      <c r="C128" s="24"/>
      <c r="D128" s="24"/>
      <c r="E128" s="24"/>
      <c r="F128" s="24"/>
      <c r="G128" s="25"/>
    </row>
    <row r="129" spans="1:7" x14ac:dyDescent="0.2">
      <c r="A129" s="4" t="s">
        <v>352</v>
      </c>
      <c r="B129" s="23"/>
      <c r="C129" s="24"/>
      <c r="D129" s="24"/>
      <c r="E129" s="24"/>
      <c r="F129" s="24"/>
      <c r="G129" s="25"/>
    </row>
    <row r="130" spans="1:7" x14ac:dyDescent="0.2">
      <c r="A130" s="4" t="s">
        <v>353</v>
      </c>
      <c r="B130" s="23"/>
      <c r="C130" s="24"/>
      <c r="D130" s="24"/>
      <c r="E130" s="24"/>
      <c r="F130" s="24"/>
      <c r="G130" s="25"/>
    </row>
    <row r="131" spans="1:7" x14ac:dyDescent="0.2">
      <c r="A131" s="4" t="s">
        <v>354</v>
      </c>
      <c r="B131" s="23"/>
      <c r="C131" s="24"/>
      <c r="D131" s="24"/>
      <c r="E131" s="24"/>
      <c r="F131" s="24"/>
      <c r="G131" s="25"/>
    </row>
    <row r="132" spans="1:7" x14ac:dyDescent="0.2">
      <c r="A132" s="4" t="s">
        <v>355</v>
      </c>
      <c r="B132" s="23"/>
      <c r="C132" s="24"/>
      <c r="D132" s="24"/>
      <c r="E132" s="24"/>
      <c r="F132" s="24"/>
      <c r="G132" s="25"/>
    </row>
    <row r="133" spans="1:7" x14ac:dyDescent="0.2">
      <c r="A133" s="4" t="s">
        <v>356</v>
      </c>
      <c r="B133" s="23"/>
      <c r="C133" s="24"/>
      <c r="D133" s="24"/>
      <c r="E133" s="24"/>
      <c r="F133" s="24"/>
      <c r="G133" s="25"/>
    </row>
    <row r="134" spans="1:7" x14ac:dyDescent="0.2">
      <c r="A134" s="4" t="s">
        <v>357</v>
      </c>
      <c r="B134" s="23"/>
      <c r="C134" s="24"/>
      <c r="D134" s="24"/>
      <c r="E134" s="24"/>
      <c r="F134" s="24"/>
      <c r="G134" s="25"/>
    </row>
    <row r="135" spans="1:7" x14ac:dyDescent="0.2">
      <c r="A135" s="4" t="s">
        <v>358</v>
      </c>
      <c r="B135" s="23"/>
      <c r="C135" s="24"/>
      <c r="D135" s="24"/>
      <c r="E135" s="24"/>
      <c r="F135" s="24"/>
      <c r="G135" s="25"/>
    </row>
    <row r="136" spans="1:7" x14ac:dyDescent="0.2">
      <c r="A136" s="4" t="s">
        <v>359</v>
      </c>
      <c r="B136" s="23"/>
      <c r="C136" s="24"/>
      <c r="D136" s="24"/>
      <c r="E136" s="24"/>
      <c r="F136" s="24"/>
      <c r="G136" s="25"/>
    </row>
    <row r="137" spans="1:7" x14ac:dyDescent="0.2">
      <c r="A137" s="4" t="s">
        <v>360</v>
      </c>
      <c r="B137" s="23"/>
      <c r="C137" s="24"/>
      <c r="D137" s="24"/>
      <c r="E137" s="24"/>
      <c r="F137" s="24"/>
      <c r="G137" s="25"/>
    </row>
    <row r="138" spans="1:7" x14ac:dyDescent="0.2">
      <c r="A138" s="5" t="s">
        <v>328</v>
      </c>
      <c r="B138" s="26"/>
      <c r="C138" s="27"/>
      <c r="D138" s="27"/>
      <c r="E138" s="27"/>
      <c r="F138" s="27"/>
      <c r="G138" s="28"/>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5F7F9-87E6-451B-B565-5438983347A3}">
  <dimension ref="A1"/>
  <sheetViews>
    <sheetView tabSelected="1" zoomScale="150" zoomScaleNormal="150" workbookViewId="0">
      <selection activeCell="K33" sqref="K33"/>
    </sheetView>
  </sheetViews>
  <sheetFormatPr baseColWidth="10" defaultColWidth="9" defaultRowHeight="16" x14ac:dyDescent="0.2"/>
  <cols>
    <col min="1" max="16384" width="9"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02ECF-20BE-274C-929E-5D88E585DDFB}">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customers</vt:lpstr>
      <vt:lpstr>Sheet1</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Microsoft Office User</cp:lastModifiedBy>
  <dcterms:created xsi:type="dcterms:W3CDTF">2026-09-23T04:25:45Z</dcterms:created>
  <dcterms:modified xsi:type="dcterms:W3CDTF">2026-09-26T04:41:47Z</dcterms:modified>
</cp:coreProperties>
</file>